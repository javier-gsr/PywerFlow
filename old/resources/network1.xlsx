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avir\Desktop\TFG\TFG Sistema eléctrico\Código\Nuevo intento (oct 2025)\"/>
    </mc:Choice>
  </mc:AlternateContent>
  <xr:revisionPtr revIDLastSave="0" documentId="13_ncr:1_{C40FDD31-CE37-488E-B02C-F3C164AA90D4}" xr6:coauthVersionLast="47" xr6:coauthVersionMax="47" xr10:uidLastSave="{00000000-0000-0000-0000-000000000000}"/>
  <bookViews>
    <workbookView xWindow="-135" yWindow="-135" windowWidth="29070" windowHeight="15750" xr2:uid="{00000000-000D-0000-FFFF-FFFF00000000}"/>
  </bookViews>
  <sheets>
    <sheet name="buses" sheetId="1" r:id="rId1"/>
    <sheet name="lin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" l="1"/>
  <c r="F16" i="2"/>
  <c r="F3" i="2"/>
  <c r="A18" i="2"/>
  <c r="J10" i="1"/>
  <c r="J7" i="1"/>
  <c r="J8" i="1"/>
  <c r="J9" i="1"/>
  <c r="A5" i="2"/>
  <c r="A6" i="2" s="1"/>
  <c r="A7" i="2" s="1"/>
  <c r="A8" i="2" s="1"/>
  <c r="A9" i="2" s="1"/>
  <c r="A10" i="2" s="1"/>
  <c r="A11" i="2" s="1"/>
  <c r="J6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2" i="2" l="1"/>
  <c r="A13" i="2" s="1"/>
  <c r="A14" i="2" s="1"/>
  <c r="A15" i="2" s="1"/>
  <c r="A16" i="2" s="1"/>
  <c r="A17" i="2" s="1"/>
</calcChain>
</file>

<file path=xl/sharedStrings.xml><?xml version="1.0" encoding="utf-8"?>
<sst xmlns="http://schemas.openxmlformats.org/spreadsheetml/2006/main" count="120" uniqueCount="28">
  <si>
    <t>Type</t>
  </si>
  <si>
    <t>P</t>
  </si>
  <si>
    <t>θ</t>
  </si>
  <si>
    <t>ID</t>
  </si>
  <si>
    <t>Q</t>
  </si>
  <si>
    <t>PQ</t>
  </si>
  <si>
    <t>Slack</t>
  </si>
  <si>
    <t>-</t>
  </si>
  <si>
    <t>NOTAS</t>
  </si>
  <si>
    <t>ID bus 1</t>
  </si>
  <si>
    <t>ID bus 2</t>
  </si>
  <si>
    <t>Z</t>
  </si>
  <si>
    <t>Y</t>
  </si>
  <si>
    <t>Trafo-rt</t>
  </si>
  <si>
    <t>Trafo-Zcc</t>
  </si>
  <si>
    <t>1+5j</t>
  </si>
  <si>
    <t>Todos los angulos se considerarán en radianes</t>
  </si>
  <si>
    <t>Especificar los valores en unidades del sistema internacional</t>
  </si>
  <si>
    <t>El orden de las columnas no importa, solo las etiquetas de su cabecera (ID, Z, Y, etc)</t>
  </si>
  <si>
    <t>Las variables Z, Y, Trafo-rt, Trafo-Zcc son, en general, numeros complejos. Pueden especificarse en forma binomica (ej: 2+5j) o polar (ej: 5∠3.14).</t>
  </si>
  <si>
    <t xml:space="preserve">Independientemente del conexionado real del transformador, debe especificarse su equivalente estrella-estrella, tanto en la Zcc como en la rt. </t>
  </si>
  <si>
    <t>Por tanto si rt se especifica como un complejo, su angulo debe ser el "retraso" que sufre la tensión (linea-neutro) de cada fase al pasar por el trafo desde el lado del bus 1 al lado del bus 2</t>
  </si>
  <si>
    <t>La relación de transformación compleja se especifica como UN1/UN2, estos son los fasores tensiones nominales (linea-neutro) del lado del bus 1 y del bus 2. Los buses 1 y 2 son aquellos que poseen la ID1 y la ID2 especificadas en las columnas, respectivamente</t>
  </si>
  <si>
    <t>I27I6G27:I27H27:I27I6G27:I27G27:I27I6G27:I27F27:I27I6G27:I27E27:I27I6G27:I27E27:I28</t>
  </si>
  <si>
    <t>V</t>
  </si>
  <si>
    <t>PV</t>
  </si>
  <si>
    <t>No pueden especificarse trafos y a la vez lineas PI. Es decir, si se quiere una linea "compuesta" donde hay trafos y tambien modelo PI de linea, deben usarse nudos intermedios tipo PQ con P=Q=0.</t>
  </si>
  <si>
    <t>El valor Zcc de los trafos será considerado como el valor que se mide desde el primario, siendo el primario el lado del bus 1 que se especifique.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</si>
</sst>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Yu Gothic"/>
      <family val="2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1" fillId="2" borderId="1" xfId="0" applyFont="1" applyFill="1" applyBorder="1"/>
    <xf numFmtId="0" fontId="0" fillId="0" borderId="1" xfId="0" applyBorder="1"/>
    <xf numFmtId="0" fontId="0" fillId="3" borderId="4" xfId="0" applyFill="1" applyBorder="1" applyAlignment="1">
      <alignment horizontal="center"/>
    </xf>
    <xf numFmtId="0" fontId="0" fillId="0" borderId="3" xfId="0" applyBorder="1"/>
    <xf numFmtId="0" fontId="0" fillId="0" borderId="2" xfId="0" applyBorder="1"/>
    <xf numFmtId="0" fontId="3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295550</xdr:colOff>
      <xdr:row>19</xdr:row>
      <xdr:rowOff>56460</xdr:rowOff>
    </xdr:from>
    <xdr:to>
      <xdr:col>6</xdr:col>
      <xdr:colOff>725713</xdr:colOff>
      <xdr:row>33</xdr:row>
      <xdr:rowOff>155659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5657617E-0F52-57AB-DF76-6F73822F9A20}"/>
            </a:ext>
          </a:extLst>
        </xdr:cNvPr>
        <xdr:cNvGrpSpPr/>
      </xdr:nvGrpSpPr>
      <xdr:grpSpPr>
        <a:xfrm>
          <a:off x="1057550" y="3742635"/>
          <a:ext cx="4421138" cy="2766199"/>
          <a:chOff x="7571945" y="3467621"/>
          <a:chExt cx="4545322" cy="2567505"/>
        </a:xfrm>
      </xdr:grpSpPr>
      <xdr:pic>
        <xdr:nvPicPr>
          <xdr:cNvPr id="2" name="Imagen 1" descr="La impedancia y la admitancia corresponden a las de la imagen de abajo:">
            <a:extLst>
              <a:ext uri="{FF2B5EF4-FFF2-40B4-BE49-F238E27FC236}">
                <a16:creationId xmlns:a16="http://schemas.microsoft.com/office/drawing/2014/main" id="{3FAAE2E6-5A70-7B26-BB91-C611562289C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571945" y="3467621"/>
            <a:ext cx="4031502" cy="228805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461E330E-C0CC-289C-F63A-31AD40129BD1}"/>
              </a:ext>
            </a:extLst>
          </xdr:cNvPr>
          <xdr:cNvSpPr txBox="1"/>
        </xdr:nvSpPr>
        <xdr:spPr>
          <a:xfrm>
            <a:off x="7648388" y="5771005"/>
            <a:ext cx="4468879" cy="26412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s-ES" sz="1100"/>
              <a:t>La impedancia y la admitancia corresponden con las de la imagen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zoomScale="130" zoomScaleNormal="130" workbookViewId="0">
      <selection activeCell="H17" sqref="H17"/>
    </sheetView>
  </sheetViews>
  <sheetFormatPr baseColWidth="10" defaultColWidth="8.85546875" defaultRowHeight="15" x14ac:dyDescent="0.25"/>
  <cols>
    <col min="1" max="1" width="12" customWidth="1"/>
    <col min="2" max="2" width="14.28515625" customWidth="1"/>
    <col min="9" max="9" width="11.28515625" bestFit="1" customWidth="1"/>
    <col min="10" max="10" width="95.85546875" customWidth="1"/>
    <col min="11" max="11" width="8.85546875" customWidth="1"/>
  </cols>
  <sheetData>
    <row r="1" spans="1:10" ht="20.25" x14ac:dyDescent="0.25">
      <c r="A1" s="1" t="s">
        <v>3</v>
      </c>
      <c r="B1" s="1" t="s">
        <v>0</v>
      </c>
      <c r="C1" s="1" t="s">
        <v>1</v>
      </c>
      <c r="D1" s="1" t="s">
        <v>4</v>
      </c>
      <c r="E1" s="1" t="s">
        <v>24</v>
      </c>
      <c r="F1" s="1" t="s">
        <v>2</v>
      </c>
    </row>
    <row r="2" spans="1:10" x14ac:dyDescent="0.25">
      <c r="A2" s="2">
        <v>1</v>
      </c>
      <c r="B2" s="2" t="s">
        <v>6</v>
      </c>
      <c r="C2" s="2" t="s">
        <v>7</v>
      </c>
      <c r="D2" s="2" t="s">
        <v>7</v>
      </c>
      <c r="E2" s="2">
        <v>230</v>
      </c>
      <c r="F2" s="2">
        <v>0</v>
      </c>
    </row>
    <row r="3" spans="1:10" ht="15.6" customHeight="1" x14ac:dyDescent="0.25">
      <c r="A3" s="3">
        <v>2</v>
      </c>
      <c r="B3" s="3" t="s">
        <v>25</v>
      </c>
      <c r="C3" s="3">
        <v>12</v>
      </c>
      <c r="D3" s="3" t="s">
        <v>7</v>
      </c>
      <c r="E3" s="3">
        <v>230</v>
      </c>
      <c r="F3" s="3" t="s">
        <v>7</v>
      </c>
    </row>
    <row r="4" spans="1:10" x14ac:dyDescent="0.25">
      <c r="A4" s="4">
        <v>3</v>
      </c>
      <c r="B4" s="4" t="s">
        <v>25</v>
      </c>
      <c r="C4" s="4">
        <v>4</v>
      </c>
      <c r="D4" s="4" t="s">
        <v>7</v>
      </c>
      <c r="E4" s="4">
        <v>230</v>
      </c>
      <c r="F4" s="4" t="s">
        <v>7</v>
      </c>
    </row>
    <row r="5" spans="1:10" x14ac:dyDescent="0.25">
      <c r="A5" s="4">
        <f>A4+1</f>
        <v>4</v>
      </c>
      <c r="B5" s="4" t="s">
        <v>25</v>
      </c>
      <c r="C5" s="4">
        <v>3</v>
      </c>
      <c r="D5" s="4" t="s">
        <v>7</v>
      </c>
      <c r="E5" s="4">
        <v>230</v>
      </c>
      <c r="F5" s="4" t="s">
        <v>7</v>
      </c>
      <c r="J5" s="8" t="s">
        <v>8</v>
      </c>
    </row>
    <row r="6" spans="1:10" x14ac:dyDescent="0.25">
      <c r="A6" s="4">
        <f t="shared" ref="A6:A17" si="0">A5+1</f>
        <v>5</v>
      </c>
      <c r="B6" s="4" t="s">
        <v>25</v>
      </c>
      <c r="C6" s="4">
        <v>2</v>
      </c>
      <c r="D6" s="4" t="s">
        <v>7</v>
      </c>
      <c r="E6" s="4">
        <v>230</v>
      </c>
      <c r="F6" s="4" t="s">
        <v>7</v>
      </c>
      <c r="J6" s="9" t="str">
        <f>"- Especificar los valores en unidades del sistema internacional"</f>
        <v>- Especificar los valores en unidades del sistema internacional</v>
      </c>
    </row>
    <row r="7" spans="1:10" x14ac:dyDescent="0.25">
      <c r="A7" s="4">
        <f t="shared" si="0"/>
        <v>6</v>
      </c>
      <c r="B7" s="4" t="s">
        <v>25</v>
      </c>
      <c r="C7" s="4">
        <v>-10</v>
      </c>
      <c r="D7" s="4" t="s">
        <v>7</v>
      </c>
      <c r="E7" s="4">
        <v>230</v>
      </c>
      <c r="F7" s="4" t="s">
        <v>7</v>
      </c>
      <c r="J7" s="9" t="str">
        <f>"- Se considera P positiva aquella que es generada, y negativa aquella que se consume"</f>
        <v>- Se considera P positiva aquella que es generada, y negativa aquella que se consume</v>
      </c>
    </row>
    <row r="8" spans="1:10" x14ac:dyDescent="0.25">
      <c r="A8" s="4">
        <f t="shared" si="0"/>
        <v>7</v>
      </c>
      <c r="B8" s="4" t="s">
        <v>25</v>
      </c>
      <c r="C8" s="4">
        <v>5</v>
      </c>
      <c r="D8" s="4" t="s">
        <v>7</v>
      </c>
      <c r="E8" s="4">
        <v>230</v>
      </c>
      <c r="F8" s="4" t="s">
        <v>7</v>
      </c>
      <c r="J8" s="9" t="str">
        <f>"- Se considera Q positiva aquella que es generada (condensador), y negativa aquella que se consume (bobina)"</f>
        <v>- Se considera Q positiva aquella que es generada (condensador), y negativa aquella que se consume (bobina)</v>
      </c>
    </row>
    <row r="9" spans="1:10" x14ac:dyDescent="0.25">
      <c r="A9" s="4">
        <f t="shared" si="0"/>
        <v>8</v>
      </c>
      <c r="B9" s="4" t="s">
        <v>25</v>
      </c>
      <c r="C9" s="4">
        <v>7</v>
      </c>
      <c r="D9" s="4" t="s">
        <v>7</v>
      </c>
      <c r="E9" s="4">
        <v>230</v>
      </c>
      <c r="F9" s="4" t="s">
        <v>7</v>
      </c>
      <c r="H9" s="13"/>
      <c r="J9" s="9" t="str">
        <f>"- El orden de las columnas no importa, solo las etiquetas de su cabecera (Type, P, Q, etc)"</f>
        <v>- El orden de las columnas no importa, solo las etiquetas de su cabecera (Type, P, Q, etc)</v>
      </c>
    </row>
    <row r="10" spans="1:10" x14ac:dyDescent="0.25">
      <c r="A10" s="5">
        <f t="shared" si="0"/>
        <v>9</v>
      </c>
      <c r="B10" s="5" t="s">
        <v>5</v>
      </c>
      <c r="C10" s="5">
        <v>-2</v>
      </c>
      <c r="D10" s="5">
        <v>-0.75821461497111109</v>
      </c>
      <c r="E10" s="5" t="s">
        <v>7</v>
      </c>
      <c r="F10" s="5" t="s">
        <v>7</v>
      </c>
      <c r="J10" s="9" t="str">
        <f>"- Los angulos se considerarán en radianes"</f>
        <v>- Los angulos se considerarán en radianes</v>
      </c>
    </row>
    <row r="11" spans="1:10" x14ac:dyDescent="0.25">
      <c r="A11" s="6">
        <f t="shared" si="0"/>
        <v>10</v>
      </c>
      <c r="B11" s="6" t="s">
        <v>5</v>
      </c>
      <c r="C11" s="6">
        <v>0</v>
      </c>
      <c r="D11" s="6">
        <v>-8.7457552446078974</v>
      </c>
      <c r="E11" s="6" t="s">
        <v>7</v>
      </c>
      <c r="F11" s="6" t="s">
        <v>7</v>
      </c>
      <c r="J11" s="9" t="str">
        <f>"- La V es la tension fase-neutro, no la de linea."</f>
        <v>- La V es la tension fase-neutro, no la de linea.</v>
      </c>
    </row>
    <row r="12" spans="1:10" x14ac:dyDescent="0.25">
      <c r="A12" s="6">
        <f t="shared" si="0"/>
        <v>11</v>
      </c>
      <c r="B12" s="6" t="s">
        <v>5</v>
      </c>
      <c r="C12" s="6">
        <v>2</v>
      </c>
      <c r="D12" s="6">
        <v>-5.2767327488125986</v>
      </c>
      <c r="E12" s="6" t="s">
        <v>7</v>
      </c>
      <c r="F12" s="6" t="s">
        <v>7</v>
      </c>
    </row>
    <row r="13" spans="1:10" x14ac:dyDescent="0.25">
      <c r="A13" s="6">
        <f t="shared" si="0"/>
        <v>12</v>
      </c>
      <c r="B13" s="6" t="s">
        <v>5</v>
      </c>
      <c r="C13" s="6">
        <v>5</v>
      </c>
      <c r="D13" s="6">
        <v>-9.9654319835587231</v>
      </c>
      <c r="E13" s="6" t="s">
        <v>7</v>
      </c>
      <c r="F13" s="6" t="s">
        <v>7</v>
      </c>
    </row>
    <row r="14" spans="1:10" x14ac:dyDescent="0.25">
      <c r="A14" s="6">
        <f t="shared" si="0"/>
        <v>13</v>
      </c>
      <c r="B14" s="6" t="s">
        <v>5</v>
      </c>
      <c r="C14" s="6">
        <v>-3</v>
      </c>
      <c r="D14" s="6">
        <v>4.0896315837920056</v>
      </c>
      <c r="E14" s="6" t="s">
        <v>7</v>
      </c>
      <c r="F14" s="6" t="s">
        <v>7</v>
      </c>
    </row>
    <row r="15" spans="1:10" x14ac:dyDescent="0.25">
      <c r="A15" s="6">
        <f t="shared" si="0"/>
        <v>14</v>
      </c>
      <c r="B15" s="6" t="s">
        <v>5</v>
      </c>
      <c r="C15" s="6">
        <v>0</v>
      </c>
      <c r="D15" s="6">
        <v>-1.147581373297772</v>
      </c>
      <c r="E15" s="6" t="s">
        <v>7</v>
      </c>
      <c r="F15" s="6" t="s">
        <v>7</v>
      </c>
    </row>
    <row r="16" spans="1:10" x14ac:dyDescent="0.25">
      <c r="A16" s="6">
        <f t="shared" si="0"/>
        <v>15</v>
      </c>
      <c r="B16" s="6" t="s">
        <v>5</v>
      </c>
      <c r="C16" s="6">
        <v>6</v>
      </c>
      <c r="D16" s="6">
        <v>0</v>
      </c>
      <c r="E16" s="6" t="s">
        <v>7</v>
      </c>
      <c r="F16" s="6" t="s">
        <v>7</v>
      </c>
    </row>
    <row r="17" spans="1:10" x14ac:dyDescent="0.25">
      <c r="A17" s="7">
        <f t="shared" si="0"/>
        <v>16</v>
      </c>
      <c r="B17" s="7" t="s">
        <v>5</v>
      </c>
      <c r="C17" s="7">
        <v>6</v>
      </c>
      <c r="D17" s="7">
        <v>-9.3401000656966318</v>
      </c>
      <c r="E17" s="7" t="s">
        <v>7</v>
      </c>
      <c r="F17" s="7" t="s">
        <v>7</v>
      </c>
      <c r="J17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7FE7E-411E-49E0-A6BE-04452CAB2F22}">
  <dimension ref="A1:I27"/>
  <sheetViews>
    <sheetView zoomScaleNormal="100" workbookViewId="0">
      <selection activeCell="B16" sqref="B16"/>
    </sheetView>
  </sheetViews>
  <sheetFormatPr baseColWidth="10" defaultRowHeight="15" x14ac:dyDescent="0.25"/>
  <cols>
    <col min="2" max="2" width="12.28515625" customWidth="1"/>
    <col min="3" max="3" width="13.42578125" customWidth="1"/>
    <col min="5" max="5" width="10.5703125" customWidth="1"/>
    <col min="6" max="6" width="12.140625" customWidth="1"/>
    <col min="7" max="7" width="17.42578125" customWidth="1"/>
    <col min="8" max="8" width="15.28515625" customWidth="1"/>
    <col min="9" max="9" width="228.85546875" customWidth="1"/>
    <col min="10" max="10" width="15.7109375" customWidth="1"/>
  </cols>
  <sheetData>
    <row r="1" spans="1:9" ht="20.25" x14ac:dyDescent="0.25">
      <c r="A1" s="1" t="s">
        <v>3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</row>
    <row r="2" spans="1:9" x14ac:dyDescent="0.25">
      <c r="A2" s="4">
        <v>1</v>
      </c>
      <c r="B2" s="4">
        <v>1</v>
      </c>
      <c r="C2" s="4">
        <v>2</v>
      </c>
      <c r="D2" s="4" t="s">
        <v>15</v>
      </c>
      <c r="E2" s="4">
        <v>0</v>
      </c>
      <c r="F2" s="4" t="s">
        <v>7</v>
      </c>
      <c r="G2" s="4" t="s">
        <v>7</v>
      </c>
    </row>
    <row r="3" spans="1:9" x14ac:dyDescent="0.25">
      <c r="A3" s="4">
        <v>2</v>
      </c>
      <c r="B3" s="4">
        <v>2</v>
      </c>
      <c r="C3" s="4">
        <v>3</v>
      </c>
      <c r="D3" s="4">
        <v>0</v>
      </c>
      <c r="E3" s="4">
        <v>0</v>
      </c>
      <c r="F3" s="4" t="str">
        <f>_xlfn.CONCAT("5∠",TEXT(PI()/2,"0.0000"))</f>
        <v>5∠1.5708</v>
      </c>
      <c r="G3" s="4" t="s">
        <v>15</v>
      </c>
      <c r="I3" s="8" t="s">
        <v>8</v>
      </c>
    </row>
    <row r="4" spans="1:9" x14ac:dyDescent="0.25">
      <c r="A4" s="4">
        <v>3</v>
      </c>
      <c r="B4" s="4">
        <v>3</v>
      </c>
      <c r="C4" s="4">
        <v>4</v>
      </c>
      <c r="D4" s="4" t="s">
        <v>15</v>
      </c>
      <c r="E4" s="4">
        <v>0</v>
      </c>
      <c r="F4" s="4" t="s">
        <v>7</v>
      </c>
      <c r="G4" s="4" t="s">
        <v>7</v>
      </c>
      <c r="I4" s="9" t="s">
        <v>17</v>
      </c>
    </row>
    <row r="5" spans="1:9" x14ac:dyDescent="0.25">
      <c r="A5" s="4">
        <f>A4+1</f>
        <v>4</v>
      </c>
      <c r="B5" s="4">
        <v>4</v>
      </c>
      <c r="C5" s="4">
        <v>5</v>
      </c>
      <c r="D5" s="4" t="s">
        <v>15</v>
      </c>
      <c r="E5" s="4">
        <v>0</v>
      </c>
      <c r="F5" s="4" t="s">
        <v>7</v>
      </c>
      <c r="G5" s="4" t="s">
        <v>7</v>
      </c>
      <c r="I5" s="9" t="s">
        <v>18</v>
      </c>
    </row>
    <row r="6" spans="1:9" x14ac:dyDescent="0.25">
      <c r="A6" s="4">
        <f t="shared" ref="A6:A18" si="0">A5+1</f>
        <v>5</v>
      </c>
      <c r="B6" s="4">
        <v>5</v>
      </c>
      <c r="C6" s="4">
        <v>6</v>
      </c>
      <c r="D6" s="4" t="s">
        <v>15</v>
      </c>
      <c r="E6" s="4">
        <v>0</v>
      </c>
      <c r="F6" s="4" t="s">
        <v>7</v>
      </c>
      <c r="G6" s="4" t="s">
        <v>7</v>
      </c>
      <c r="I6" s="9" t="s">
        <v>19</v>
      </c>
    </row>
    <row r="7" spans="1:9" x14ac:dyDescent="0.25">
      <c r="A7" s="4">
        <f t="shared" si="0"/>
        <v>6</v>
      </c>
      <c r="B7" s="4">
        <v>7</v>
      </c>
      <c r="C7" s="4">
        <v>8</v>
      </c>
      <c r="D7" s="4" t="s">
        <v>15</v>
      </c>
      <c r="E7" s="4">
        <v>0</v>
      </c>
      <c r="F7" s="4" t="s">
        <v>7</v>
      </c>
      <c r="G7" s="4" t="s">
        <v>7</v>
      </c>
      <c r="H7" s="13"/>
      <c r="I7" s="9" t="s">
        <v>16</v>
      </c>
    </row>
    <row r="8" spans="1:9" x14ac:dyDescent="0.25">
      <c r="A8" s="4">
        <f t="shared" si="0"/>
        <v>7</v>
      </c>
      <c r="B8" s="4">
        <v>8</v>
      </c>
      <c r="C8" s="4">
        <v>9</v>
      </c>
      <c r="D8" s="4" t="s">
        <v>15</v>
      </c>
      <c r="E8" s="4">
        <v>0</v>
      </c>
      <c r="F8" s="4" t="s">
        <v>7</v>
      </c>
      <c r="G8" s="4" t="s">
        <v>7</v>
      </c>
      <c r="I8" s="11" t="s">
        <v>22</v>
      </c>
    </row>
    <row r="9" spans="1:9" x14ac:dyDescent="0.25">
      <c r="A9" s="4">
        <f t="shared" si="0"/>
        <v>8</v>
      </c>
      <c r="B9" s="4">
        <v>9</v>
      </c>
      <c r="C9" s="4">
        <v>1</v>
      </c>
      <c r="D9" s="4" t="s">
        <v>15</v>
      </c>
      <c r="E9" s="4">
        <v>0</v>
      </c>
      <c r="F9" s="4" t="s">
        <v>7</v>
      </c>
      <c r="G9" s="4" t="s">
        <v>7</v>
      </c>
      <c r="I9" s="12" t="s">
        <v>21</v>
      </c>
    </row>
    <row r="10" spans="1:9" x14ac:dyDescent="0.25">
      <c r="A10" s="4">
        <f t="shared" si="0"/>
        <v>9</v>
      </c>
      <c r="B10" s="4">
        <v>10</v>
      </c>
      <c r="C10" s="4">
        <v>12</v>
      </c>
      <c r="D10" s="4" t="s">
        <v>15</v>
      </c>
      <c r="E10" s="4">
        <v>0</v>
      </c>
      <c r="F10" s="4" t="s">
        <v>7</v>
      </c>
      <c r="G10" s="4" t="s">
        <v>7</v>
      </c>
      <c r="I10" s="12" t="s">
        <v>20</v>
      </c>
    </row>
    <row r="11" spans="1:9" x14ac:dyDescent="0.25">
      <c r="A11" s="4">
        <f t="shared" si="0"/>
        <v>10</v>
      </c>
      <c r="B11" s="4">
        <v>11</v>
      </c>
      <c r="C11" s="4">
        <v>15</v>
      </c>
      <c r="D11" s="4" t="s">
        <v>15</v>
      </c>
      <c r="E11" s="4">
        <v>0</v>
      </c>
      <c r="F11" s="4" t="s">
        <v>7</v>
      </c>
      <c r="G11" s="4" t="s">
        <v>7</v>
      </c>
      <c r="I11" s="9" t="s">
        <v>26</v>
      </c>
    </row>
    <row r="12" spans="1:9" x14ac:dyDescent="0.25">
      <c r="A12" s="4">
        <f t="shared" si="0"/>
        <v>11</v>
      </c>
      <c r="B12" s="4">
        <v>12</v>
      </c>
      <c r="C12" s="4">
        <v>16</v>
      </c>
      <c r="D12" s="4" t="s">
        <v>15</v>
      </c>
      <c r="E12" s="4">
        <v>0</v>
      </c>
      <c r="F12" s="4" t="s">
        <v>7</v>
      </c>
      <c r="G12" s="4" t="s">
        <v>7</v>
      </c>
      <c r="I12" s="9" t="s">
        <v>27</v>
      </c>
    </row>
    <row r="13" spans="1:9" x14ac:dyDescent="0.25">
      <c r="A13" s="4">
        <f t="shared" si="0"/>
        <v>12</v>
      </c>
      <c r="B13" s="4">
        <v>13</v>
      </c>
      <c r="C13" s="4">
        <v>14</v>
      </c>
      <c r="D13" s="4" t="s">
        <v>15</v>
      </c>
      <c r="E13" s="4">
        <v>0</v>
      </c>
      <c r="F13" s="4" t="s">
        <v>7</v>
      </c>
      <c r="G13" s="4" t="s">
        <v>7</v>
      </c>
      <c r="I13" s="9"/>
    </row>
    <row r="14" spans="1:9" x14ac:dyDescent="0.25">
      <c r="A14" s="4">
        <f t="shared" si="0"/>
        <v>13</v>
      </c>
      <c r="B14" s="4">
        <v>14</v>
      </c>
      <c r="C14" s="4">
        <v>15</v>
      </c>
      <c r="D14" s="4" t="s">
        <v>15</v>
      </c>
      <c r="E14" s="4">
        <v>0</v>
      </c>
      <c r="F14" s="4" t="s">
        <v>7</v>
      </c>
      <c r="G14" s="4" t="s">
        <v>7</v>
      </c>
      <c r="I14" s="9"/>
    </row>
    <row r="15" spans="1:9" x14ac:dyDescent="0.25">
      <c r="A15" s="4">
        <f t="shared" si="0"/>
        <v>14</v>
      </c>
      <c r="B15" s="4">
        <v>15</v>
      </c>
      <c r="C15" s="4">
        <v>2</v>
      </c>
      <c r="D15" s="4" t="s">
        <v>15</v>
      </c>
      <c r="E15" s="4">
        <v>0</v>
      </c>
      <c r="F15" s="4" t="s">
        <v>7</v>
      </c>
      <c r="G15" s="4" t="s">
        <v>7</v>
      </c>
      <c r="I15" s="9"/>
    </row>
    <row r="16" spans="1:9" x14ac:dyDescent="0.25">
      <c r="A16" s="4">
        <f t="shared" si="0"/>
        <v>15</v>
      </c>
      <c r="B16" s="4">
        <v>13</v>
      </c>
      <c r="C16" s="4">
        <v>16</v>
      </c>
      <c r="D16" s="4">
        <v>0</v>
      </c>
      <c r="E16" s="4">
        <v>0</v>
      </c>
      <c r="F16" s="4" t="str">
        <f>_xlfn.CONCAT(TEXT(1/7,"0.000"), "∠",TEXT(PI()/8,"0.0000"))</f>
        <v>0.143∠0.3927</v>
      </c>
      <c r="G16" s="4" t="s">
        <v>15</v>
      </c>
      <c r="I16" s="9"/>
    </row>
    <row r="17" spans="1:9" x14ac:dyDescent="0.25">
      <c r="A17" s="4">
        <f t="shared" si="0"/>
        <v>16</v>
      </c>
      <c r="B17" s="4">
        <v>6</v>
      </c>
      <c r="C17" s="4">
        <v>3</v>
      </c>
      <c r="D17" s="4" t="s">
        <v>15</v>
      </c>
      <c r="E17" s="4">
        <v>0</v>
      </c>
      <c r="F17" s="4" t="s">
        <v>7</v>
      </c>
      <c r="G17" s="4" t="s">
        <v>7</v>
      </c>
      <c r="I17" s="9"/>
    </row>
    <row r="18" spans="1:9" x14ac:dyDescent="0.25">
      <c r="A18" s="10">
        <f t="shared" si="0"/>
        <v>17</v>
      </c>
      <c r="B18" s="10">
        <v>7</v>
      </c>
      <c r="C18" s="10">
        <v>13</v>
      </c>
      <c r="D18" s="10" t="s">
        <v>15</v>
      </c>
      <c r="E18" s="10">
        <v>0</v>
      </c>
      <c r="F18" s="10" t="s">
        <v>7</v>
      </c>
      <c r="G18" s="10" t="s">
        <v>7</v>
      </c>
      <c r="I18" s="9"/>
    </row>
    <row r="19" spans="1:9" x14ac:dyDescent="0.25">
      <c r="A19" s="10"/>
      <c r="B19" s="10"/>
      <c r="C19" s="10"/>
      <c r="D19" s="10"/>
      <c r="E19" s="10"/>
      <c r="F19" s="10"/>
      <c r="G19" s="10"/>
    </row>
    <row r="27" spans="1:9" x14ac:dyDescent="0.25">
      <c r="I27" t="s">
        <v>23</v>
      </c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buses</vt:lpstr>
      <vt:lpstr>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Garcia San Roman</dc:creator>
  <cp:lastModifiedBy>JAVIER GARCIA SAN ROMAN</cp:lastModifiedBy>
  <dcterms:created xsi:type="dcterms:W3CDTF">2015-06-05T18:17:20Z</dcterms:created>
  <dcterms:modified xsi:type="dcterms:W3CDTF">2025-11-06T11:24:14Z</dcterms:modified>
</cp:coreProperties>
</file>