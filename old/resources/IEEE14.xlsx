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r\Desktop\TFG\TFG Sistema eléctrico\Código\Proyect 3 (oct 2025)\"/>
    </mc:Choice>
  </mc:AlternateContent>
  <xr:revisionPtr revIDLastSave="0" documentId="13_ncr:1_{F7E8CAF2-F052-4EB4-BE95-C53B82AD76C8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raw buses" sheetId="1" r:id="rId1"/>
    <sheet name="raw lines" sheetId="2" r:id="rId2"/>
    <sheet name="buses" sheetId="5" r:id="rId3"/>
    <sheet name="lin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I4" i="5" s="1"/>
  <c r="F5" i="5"/>
  <c r="F6" i="5"/>
  <c r="F7" i="5"/>
  <c r="I7" i="5" s="1"/>
  <c r="F8" i="5"/>
  <c r="F9" i="5"/>
  <c r="I9" i="5" s="1"/>
  <c r="F10" i="5"/>
  <c r="I10" i="5" s="1"/>
  <c r="F11" i="5"/>
  <c r="F12" i="5"/>
  <c r="F13" i="5"/>
  <c r="F14" i="5"/>
  <c r="F15" i="5"/>
  <c r="F2" i="5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5" i="5"/>
  <c r="I8" i="5"/>
  <c r="I13" i="5"/>
  <c r="I2" i="5"/>
  <c r="E10" i="5"/>
  <c r="K9" i="6"/>
  <c r="K10" i="6"/>
  <c r="K11" i="6"/>
  <c r="I15" i="5"/>
  <c r="I6" i="5"/>
  <c r="I14" i="5"/>
  <c r="I3" i="5"/>
  <c r="I11" i="5"/>
  <c r="I1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2" i="5"/>
  <c r="D19" i="6"/>
  <c r="E19" i="6"/>
  <c r="F19" i="6"/>
  <c r="G19" i="6"/>
  <c r="H19" i="6" s="1"/>
  <c r="D20" i="6"/>
  <c r="E20" i="6"/>
  <c r="F20" i="6"/>
  <c r="G20" i="6"/>
  <c r="H20" i="6" s="1"/>
  <c r="D21" i="6"/>
  <c r="E21" i="6"/>
  <c r="F21" i="6"/>
  <c r="G21" i="6"/>
  <c r="H21" i="6" s="1"/>
  <c r="B19" i="6"/>
  <c r="C19" i="6"/>
  <c r="B20" i="6"/>
  <c r="C20" i="6"/>
  <c r="B21" i="6"/>
  <c r="C2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C2" i="6"/>
  <c r="B2" i="6"/>
  <c r="N11" i="5"/>
  <c r="N10" i="5"/>
  <c r="N9" i="5"/>
  <c r="N8" i="5"/>
  <c r="N7" i="5"/>
  <c r="N6" i="5"/>
  <c r="J21" i="6" l="1"/>
  <c r="K21" i="6" s="1"/>
  <c r="J20" i="6"/>
  <c r="K20" i="6" s="1"/>
  <c r="J19" i="6"/>
  <c r="K19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2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2" i="5"/>
  <c r="E3" i="5"/>
  <c r="E4" i="5"/>
  <c r="E5" i="5"/>
  <c r="E6" i="5"/>
  <c r="E7" i="5"/>
  <c r="E8" i="5"/>
  <c r="E9" i="5"/>
  <c r="E11" i="5"/>
  <c r="E12" i="5"/>
  <c r="E13" i="5"/>
  <c r="E14" i="5"/>
  <c r="E15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2" i="5"/>
  <c r="J2" i="6" l="1"/>
  <c r="K2" i="6" s="1"/>
  <c r="L2" i="6"/>
  <c r="H2" i="6"/>
  <c r="J11" i="6"/>
  <c r="L11" i="6"/>
  <c r="H11" i="6"/>
  <c r="J3" i="6"/>
  <c r="K3" i="6" s="1"/>
  <c r="L3" i="6"/>
  <c r="H3" i="6"/>
  <c r="J18" i="6"/>
  <c r="K18" i="6" s="1"/>
  <c r="H18" i="6"/>
  <c r="J10" i="6"/>
  <c r="L10" i="6"/>
  <c r="H10" i="6"/>
  <c r="J9" i="6"/>
  <c r="L9" i="6"/>
  <c r="H9" i="6"/>
  <c r="L16" i="6"/>
  <c r="H16" i="6"/>
  <c r="J16" i="6"/>
  <c r="K16" i="6" s="1"/>
  <c r="L8" i="6"/>
  <c r="H8" i="6"/>
  <c r="J8" i="6"/>
  <c r="K8" i="6" s="1"/>
  <c r="J12" i="6"/>
  <c r="K12" i="6" s="1"/>
  <c r="H12" i="6"/>
  <c r="L12" i="6"/>
  <c r="H15" i="6"/>
  <c r="L15" i="6"/>
  <c r="J15" i="6"/>
  <c r="K15" i="6" s="1"/>
  <c r="H7" i="6"/>
  <c r="L7" i="6"/>
  <c r="J7" i="6"/>
  <c r="K7" i="6" s="1"/>
  <c r="J4" i="6"/>
  <c r="K4" i="6" s="1"/>
  <c r="L4" i="6"/>
  <c r="H4" i="6"/>
  <c r="L14" i="6"/>
  <c r="H14" i="6"/>
  <c r="J14" i="6"/>
  <c r="K14" i="6" s="1"/>
  <c r="L6" i="6"/>
  <c r="H6" i="6"/>
  <c r="J6" i="6"/>
  <c r="K6" i="6" s="1"/>
  <c r="J17" i="6"/>
  <c r="K17" i="6" s="1"/>
  <c r="L17" i="6"/>
  <c r="H17" i="6"/>
  <c r="H13" i="6"/>
  <c r="J13" i="6"/>
  <c r="K13" i="6" s="1"/>
  <c r="L13" i="6"/>
  <c r="L5" i="6"/>
  <c r="H5" i="6"/>
  <c r="J5" i="6"/>
  <c r="K5" i="6" s="1"/>
</calcChain>
</file>

<file path=xl/sharedStrings.xml><?xml version="1.0" encoding="utf-8"?>
<sst xmlns="http://schemas.openxmlformats.org/spreadsheetml/2006/main" count="62" uniqueCount="55">
  <si>
    <t>Type</t>
  </si>
  <si>
    <t>P</t>
  </si>
  <si>
    <t>θ</t>
  </si>
  <si>
    <t>ID</t>
  </si>
  <si>
    <t>Q</t>
  </si>
  <si>
    <t>-</t>
  </si>
  <si>
    <t>NOTAS</t>
  </si>
  <si>
    <t>ID bus 1</t>
  </si>
  <si>
    <t>ID bus 2</t>
  </si>
  <si>
    <t>Z</t>
  </si>
  <si>
    <t>Y</t>
  </si>
  <si>
    <t>Trafo-rt</t>
  </si>
  <si>
    <t>Trafo-Zcc</t>
  </si>
  <si>
    <t>Todos los angulos se considerarán en radianes</t>
  </si>
  <si>
    <t>Especificar los valores en unidades del sistema internacional</t>
  </si>
  <si>
    <t>El orden de las columnas no importa, solo las etiquetas de su cabecera (ID, Z, Y, etc)</t>
  </si>
  <si>
    <t>Las variables Z, Y, Trafo-rt, Trafo-Zcc son, en general, numeros complejos. Pueden especificarse en forma binomica (ej: 2+5j) o polar (ej: 5∠3.14).</t>
  </si>
  <si>
    <t xml:space="preserve">Independientemente del conexionado real del transformador, debe especificarse su equivalente estrella-estrella, tanto en la Zcc como en la rt. </t>
  </si>
  <si>
    <t>Por tanto si rt se especifica como un complejo, su angulo debe ser el "retraso" que sufre la tensión (linea-neutro) de cada fase al pasar por el trafo desde el lado del bus 1 al lado del bus 2</t>
  </si>
  <si>
    <t>La relación de transformación compleja se especifica como UN1/UN2, estos son los fasores tensiones nominales (linea-neutro) del lado del bus 1 y del bus 2. Los buses 1 y 2 son aquellos que poseen la ID1 y la ID2 especificadas en las columnas, respectivamente</t>
  </si>
  <si>
    <t>V</t>
  </si>
  <si>
    <t>No pueden especificarse trafos y a la vez lineas PI. Es decir, si se quiere una linea "compuesta" donde hay trafos y tambien modelo PI de linea, deben usarse nudos intermedios tipo PQ con P=Q=0.</t>
  </si>
  <si>
    <t>El valor Zcc de los trafos será considerado como el valor que se mide desde el primario, siendo el primario el lado del bus 1 que se especifique.</t>
  </si>
  <si>
    <t>Bus</t>
  </si>
  <si>
    <t>Voltage</t>
  </si>
  <si>
    <t>(p.u.)</t>
  </si>
  <si>
    <t>MVAR</t>
  </si>
  <si>
    <r>
      <t>Bus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No.</t>
    </r>
  </si>
  <si>
    <r>
      <t>Bus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Type*</t>
    </r>
  </si>
  <si>
    <r>
      <t>specified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(p.u.)</t>
    </r>
  </si>
  <si>
    <r>
      <t>angle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(p.u.)</t>
    </r>
  </si>
  <si>
    <r>
      <t>P-Generated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MW</t>
    </r>
  </si>
  <si>
    <r>
      <t>Q-Generated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MVAR</t>
    </r>
  </si>
  <si>
    <r>
      <t>P-Load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MW</t>
    </r>
  </si>
  <si>
    <r>
      <t>Q-Load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MVAR</t>
    </r>
  </si>
  <si>
    <r>
      <t>Q-Generated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max</t>
    </r>
  </si>
  <si>
    <r>
      <t>Q-Generated</t>
    </r>
    <r>
      <rPr>
        <sz val="7.5"/>
        <color rgb="FF231F20"/>
        <rFont val="Times New Roman"/>
        <family val="1"/>
      </rPr>
      <t xml:space="preserve"> </t>
    </r>
    <r>
      <rPr>
        <b/>
        <sz val="7.5"/>
        <color rgb="FF231F20"/>
        <rFont val="Times New Roman"/>
        <family val="1"/>
      </rPr>
      <t>min</t>
    </r>
  </si>
  <si>
    <t>From</t>
  </si>
  <si>
    <r>
      <t>To</t>
    </r>
    <r>
      <rPr>
        <sz val="10"/>
        <color rgb="FF231F20"/>
        <rFont val="Times New Roman"/>
        <family val="1"/>
      </rPr>
      <t xml:space="preserve"> </t>
    </r>
    <r>
      <rPr>
        <b/>
        <sz val="10"/>
        <color rgb="FF231F20"/>
        <rFont val="Times New Roman"/>
        <family val="1"/>
      </rPr>
      <t>Bus</t>
    </r>
  </si>
  <si>
    <t>Resistance</t>
  </si>
  <si>
    <r>
      <t>Reactance</t>
    </r>
    <r>
      <rPr>
        <sz val="10"/>
        <color rgb="FF231F20"/>
        <rFont val="Times New Roman"/>
        <family val="1"/>
      </rPr>
      <t xml:space="preserve"> </t>
    </r>
    <r>
      <rPr>
        <b/>
        <sz val="10"/>
        <color rgb="FF231F20"/>
        <rFont val="Times New Roman"/>
        <family val="1"/>
      </rPr>
      <t>(p.u.)</t>
    </r>
  </si>
  <si>
    <r>
      <t>Half</t>
    </r>
    <r>
      <rPr>
        <sz val="10"/>
        <color rgb="FF231F20"/>
        <rFont val="Times New Roman"/>
        <family val="1"/>
      </rPr>
      <t xml:space="preserve"> </t>
    </r>
    <r>
      <rPr>
        <b/>
        <sz val="10"/>
        <color rgb="FF231F20"/>
        <rFont val="Times New Roman"/>
        <family val="1"/>
      </rPr>
      <t>line</t>
    </r>
    <r>
      <rPr>
        <sz val="10"/>
        <color rgb="FF231F20"/>
        <rFont val="Times New Roman"/>
        <family val="1"/>
      </rPr>
      <t xml:space="preserve"> </t>
    </r>
    <r>
      <rPr>
        <b/>
        <sz val="10"/>
        <color rgb="FF231F20"/>
        <rFont val="Times New Roman"/>
        <family val="1"/>
      </rPr>
      <t>charging</t>
    </r>
  </si>
  <si>
    <r>
      <t>admittance</t>
    </r>
    <r>
      <rPr>
        <sz val="10"/>
        <color rgb="FF231F20"/>
        <rFont val="Times New Roman"/>
        <family val="1"/>
      </rPr>
      <t xml:space="preserve"> </t>
    </r>
    <r>
      <rPr>
        <b/>
        <sz val="10"/>
        <color rgb="FF231F20"/>
        <rFont val="Times New Roman"/>
        <family val="1"/>
      </rPr>
      <t>(p.u.)</t>
    </r>
  </si>
  <si>
    <t>Tap</t>
  </si>
  <si>
    <t>Ratio</t>
  </si>
  <si>
    <t>raw R</t>
  </si>
  <si>
    <t>raw X</t>
  </si>
  <si>
    <t>raw Y/2</t>
  </si>
  <si>
    <t>raw tap ratio</t>
  </si>
  <si>
    <t>RawNumType</t>
  </si>
  <si>
    <t>Trafo-rt (no fix)</t>
  </si>
  <si>
    <t>Así es como quiere que lo hagas este ejemplo, no con mis "secciones" sino con "incrustacion</t>
  </si>
  <si>
    <t>Convertir un trafo + una impedancia en un modelo PI sin trafo</t>
  </si>
  <si>
    <r>
      <t>V</t>
    </r>
    <r>
      <rPr>
        <b/>
        <sz val="9"/>
        <color theme="1"/>
        <rFont val="Yu Gothic"/>
        <family val="2"/>
      </rPr>
      <t>0</t>
    </r>
  </si>
  <si>
    <r>
      <t>θ</t>
    </r>
    <r>
      <rPr>
        <b/>
        <sz val="8"/>
        <color theme="1"/>
        <rFont val="Yu Gothic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</si>
</sst>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Yu Gothic"/>
      <family val="2"/>
    </font>
    <font>
      <sz val="8"/>
      <name val="Calibri"/>
      <family val="2"/>
      <scheme val="minor"/>
    </font>
    <font>
      <b/>
      <sz val="7.5"/>
      <color rgb="FF231F20"/>
      <name val="Times New Roman"/>
      <family val="1"/>
    </font>
    <font>
      <sz val="7.5"/>
      <color rgb="FF231F20"/>
      <name val="Times New Roman"/>
      <family val="1"/>
    </font>
    <font>
      <b/>
      <sz val="10"/>
      <color rgb="FF231F20"/>
      <name val="Times New Roman"/>
      <family val="1"/>
    </font>
    <font>
      <sz val="10"/>
      <color rgb="FF231F20"/>
      <name val="Times New Roman"/>
      <family val="1"/>
    </font>
    <font>
      <sz val="11"/>
      <color rgb="FF231F20"/>
      <name val="Times New Roman"/>
      <family val="1"/>
    </font>
    <font>
      <b/>
      <sz val="9"/>
      <color theme="1"/>
      <name val="Yu Gothic"/>
      <family val="2"/>
    </font>
    <font>
      <b/>
      <sz val="8"/>
      <color theme="1"/>
      <name val="Yu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/>
      <right style="medium">
        <color rgb="FF231F20"/>
      </right>
      <top style="medium">
        <color rgb="FF231F20"/>
      </top>
      <bottom/>
      <diagonal/>
    </border>
    <border>
      <left/>
      <right style="medium">
        <color rgb="FF231F20"/>
      </right>
      <top/>
      <bottom style="medium">
        <color rgb="FF231F2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/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3" borderId="4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5" borderId="0" xfId="0" applyFill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5" borderId="14" xfId="0" applyFill="1" applyBorder="1"/>
    <xf numFmtId="0" fontId="0" fillId="5" borderId="15" xfId="0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378799</xdr:colOff>
      <xdr:row>0</xdr:row>
      <xdr:rowOff>206188</xdr:rowOff>
    </xdr:from>
    <xdr:to>
      <xdr:col>11</xdr:col>
      <xdr:colOff>109328</xdr:colOff>
      <xdr:row>28</xdr:row>
      <xdr:rowOff>143431</xdr:rowOff>
    </xdr:to>
    <xdr:pic>
      <xdr:nvPicPr>
        <xdr:cNvPr id="5" name="Imagen 4" descr="(a) Transformer with tap setting ratio τ ; transformer presented by π-model with: (b) principal tap ratio and (c) a new voltage ratio.">
          <a:extLst>
            <a:ext uri="{FF2B5EF4-FFF2-40B4-BE49-F238E27FC236}">
              <a16:creationId xmlns:a16="http://schemas.microsoft.com/office/drawing/2014/main" id="{38BAAE3B-913B-B101-CE2A-DA1B7B9D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058" y="206188"/>
          <a:ext cx="3459846" cy="5458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346364</xdr:colOff>
      <xdr:row>22</xdr:row>
      <xdr:rowOff>0</xdr:rowOff>
    </xdr:from>
    <xdr:to>
      <xdr:col>8</xdr:col>
      <xdr:colOff>762672</xdr:colOff>
      <xdr:row>36</xdr:row>
      <xdr:rowOff>137992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E929486-7EC7-413F-8ED5-3739D41E5EF0}"/>
            </a:ext>
          </a:extLst>
        </xdr:cNvPr>
        <xdr:cNvGrpSpPr/>
      </xdr:nvGrpSpPr>
      <xdr:grpSpPr>
        <a:xfrm>
          <a:off x="3394364" y="4213412"/>
          <a:ext cx="4423532" cy="2777425"/>
          <a:chOff x="7571945" y="3467621"/>
          <a:chExt cx="4545322" cy="2567505"/>
        </a:xfrm>
      </xdr:grpSpPr>
      <xdr:pic>
        <xdr:nvPicPr>
          <xdr:cNvPr id="3" name="Imagen 2" descr="La impedancia y la admitancia corresponden a las de la imagen de abajo:">
            <a:extLst>
              <a:ext uri="{FF2B5EF4-FFF2-40B4-BE49-F238E27FC236}">
                <a16:creationId xmlns:a16="http://schemas.microsoft.com/office/drawing/2014/main" id="{AA297B71-5BA6-50FD-1429-58C17B3E7B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71945" y="3467621"/>
            <a:ext cx="4031502" cy="22880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04CF2BC-452C-C7FD-FB26-0B70DB0B1838}"/>
              </a:ext>
            </a:extLst>
          </xdr:cNvPr>
          <xdr:cNvSpPr txBox="1"/>
        </xdr:nvSpPr>
        <xdr:spPr>
          <a:xfrm>
            <a:off x="7648388" y="5771005"/>
            <a:ext cx="4468879" cy="2641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1100"/>
              <a:t>La impedancia y la admitancia corresponden con las de la imagen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30" zoomScaleNormal="130" workbookViewId="0">
      <selection activeCell="E3" sqref="E3:H3"/>
    </sheetView>
  </sheetViews>
  <sheetFormatPr baseColWidth="10" defaultColWidth="8.85546875" defaultRowHeight="15" x14ac:dyDescent="0.25"/>
  <cols>
    <col min="1" max="1" width="12" customWidth="1"/>
    <col min="2" max="2" width="14.28515625" customWidth="1"/>
    <col min="9" max="9" width="11.28515625" bestFit="1" customWidth="1"/>
    <col min="10" max="10" width="18.140625" customWidth="1"/>
    <col min="11" max="11" width="8.85546875" customWidth="1"/>
  </cols>
  <sheetData>
    <row r="1" spans="1:10" ht="29.25" x14ac:dyDescent="0.25">
      <c r="A1" s="30" t="s">
        <v>27</v>
      </c>
      <c r="B1" s="30" t="s">
        <v>28</v>
      </c>
      <c r="C1" s="9" t="s">
        <v>24</v>
      </c>
      <c r="D1" s="9" t="s">
        <v>24</v>
      </c>
      <c r="E1" s="30" t="s">
        <v>31</v>
      </c>
      <c r="F1" s="30" t="s">
        <v>32</v>
      </c>
      <c r="G1" s="30" t="s">
        <v>33</v>
      </c>
      <c r="H1" s="30" t="s">
        <v>34</v>
      </c>
      <c r="I1" s="9" t="s">
        <v>35</v>
      </c>
      <c r="J1" s="9" t="s">
        <v>36</v>
      </c>
    </row>
    <row r="2" spans="1:10" ht="20.25" thickBot="1" x14ac:dyDescent="0.3">
      <c r="A2" s="31"/>
      <c r="B2" s="31"/>
      <c r="C2" s="10" t="s">
        <v>29</v>
      </c>
      <c r="D2" s="10" t="s">
        <v>30</v>
      </c>
      <c r="E2" s="31"/>
      <c r="F2" s="31"/>
      <c r="G2" s="31"/>
      <c r="H2" s="31"/>
      <c r="I2" s="10" t="s">
        <v>26</v>
      </c>
      <c r="J2" s="10" t="s">
        <v>26</v>
      </c>
    </row>
    <row r="3" spans="1:10" ht="15.6" customHeight="1" thickBot="1" x14ac:dyDescent="0.3">
      <c r="A3" s="15">
        <v>1</v>
      </c>
      <c r="B3" s="16">
        <v>1</v>
      </c>
      <c r="C3" s="16">
        <v>1.06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</row>
    <row r="4" spans="1:10" ht="15.75" thickBot="1" x14ac:dyDescent="0.3">
      <c r="A4" s="15">
        <v>2</v>
      </c>
      <c r="B4" s="16">
        <v>2</v>
      </c>
      <c r="C4" s="16">
        <v>1.0449999999999999</v>
      </c>
      <c r="D4" s="16">
        <v>0</v>
      </c>
      <c r="E4" s="16">
        <v>0.4</v>
      </c>
      <c r="F4" s="16">
        <v>0.42399999999999999</v>
      </c>
      <c r="G4" s="16">
        <v>0.217</v>
      </c>
      <c r="H4" s="16">
        <v>0.127</v>
      </c>
      <c r="I4" s="16">
        <v>0.5</v>
      </c>
      <c r="J4" s="16">
        <v>-0.4</v>
      </c>
    </row>
    <row r="5" spans="1:10" ht="15.75" thickBot="1" x14ac:dyDescent="0.3">
      <c r="A5" s="15">
        <v>3</v>
      </c>
      <c r="B5" s="16">
        <v>2</v>
      </c>
      <c r="C5" s="16">
        <v>1.01</v>
      </c>
      <c r="D5" s="16">
        <v>0</v>
      </c>
      <c r="E5" s="16">
        <v>0</v>
      </c>
      <c r="F5" s="16">
        <v>0.23400000000000001</v>
      </c>
      <c r="G5" s="16">
        <v>0.94199999999999995</v>
      </c>
      <c r="H5" s="16">
        <v>0.19</v>
      </c>
      <c r="I5" s="16">
        <v>0.4</v>
      </c>
      <c r="J5" s="16">
        <v>0</v>
      </c>
    </row>
    <row r="6" spans="1:10" ht="15.75" thickBot="1" x14ac:dyDescent="0.3">
      <c r="A6" s="15">
        <v>4</v>
      </c>
      <c r="B6" s="16">
        <v>3</v>
      </c>
      <c r="C6" s="16">
        <v>1</v>
      </c>
      <c r="D6" s="16">
        <v>0</v>
      </c>
      <c r="E6" s="16">
        <v>0</v>
      </c>
      <c r="F6" s="16">
        <v>0</v>
      </c>
      <c r="G6" s="16">
        <v>0.47799999999999998</v>
      </c>
      <c r="H6" s="16">
        <v>0</v>
      </c>
      <c r="I6" s="16">
        <v>0</v>
      </c>
      <c r="J6" s="16">
        <v>0</v>
      </c>
    </row>
    <row r="7" spans="1:10" ht="15.75" thickBot="1" x14ac:dyDescent="0.3">
      <c r="A7" s="15">
        <v>5</v>
      </c>
      <c r="B7" s="16">
        <v>3</v>
      </c>
      <c r="C7" s="16">
        <v>1</v>
      </c>
      <c r="D7" s="16">
        <v>0</v>
      </c>
      <c r="E7" s="16">
        <v>0</v>
      </c>
      <c r="F7" s="16">
        <v>0</v>
      </c>
      <c r="G7" s="16">
        <v>7.5999999999999998E-2</v>
      </c>
      <c r="H7" s="16">
        <v>1.6E-2</v>
      </c>
      <c r="I7" s="16">
        <v>0</v>
      </c>
      <c r="J7" s="16">
        <v>0</v>
      </c>
    </row>
    <row r="8" spans="1:10" ht="15.75" thickBot="1" x14ac:dyDescent="0.3">
      <c r="A8" s="15">
        <v>6</v>
      </c>
      <c r="B8" s="16">
        <v>2</v>
      </c>
      <c r="C8" s="16">
        <v>1.07</v>
      </c>
      <c r="D8" s="16">
        <v>0</v>
      </c>
      <c r="E8" s="16">
        <v>0</v>
      </c>
      <c r="F8" s="16">
        <v>0.122</v>
      </c>
      <c r="G8" s="16">
        <v>0.112</v>
      </c>
      <c r="H8" s="16">
        <v>7.4999999999999997E-2</v>
      </c>
      <c r="I8" s="16">
        <v>0.24</v>
      </c>
      <c r="J8" s="16">
        <v>-0.06</v>
      </c>
    </row>
    <row r="9" spans="1:10" ht="15.75" thickBot="1" x14ac:dyDescent="0.3">
      <c r="A9" s="15">
        <v>7</v>
      </c>
      <c r="B9" s="16">
        <v>3</v>
      </c>
      <c r="C9" s="16">
        <v>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</row>
    <row r="10" spans="1:10" ht="15.75" thickBot="1" x14ac:dyDescent="0.3">
      <c r="A10" s="15">
        <v>8</v>
      </c>
      <c r="B10" s="16">
        <v>2</v>
      </c>
      <c r="C10" s="16">
        <v>1.0900000000000001</v>
      </c>
      <c r="D10" s="16">
        <v>0</v>
      </c>
      <c r="E10" s="16">
        <v>0</v>
      </c>
      <c r="F10" s="16">
        <v>0.17399999999999999</v>
      </c>
      <c r="G10" s="16">
        <v>0</v>
      </c>
      <c r="H10" s="16">
        <v>0</v>
      </c>
      <c r="I10" s="16">
        <v>0.24</v>
      </c>
      <c r="J10" s="16">
        <v>-0.06</v>
      </c>
    </row>
    <row r="11" spans="1:10" ht="15.75" thickBot="1" x14ac:dyDescent="0.3">
      <c r="A11" s="15">
        <v>9</v>
      </c>
      <c r="B11" s="16">
        <v>3</v>
      </c>
      <c r="C11" s="16">
        <v>1</v>
      </c>
      <c r="D11" s="16">
        <v>0</v>
      </c>
      <c r="E11" s="16">
        <v>0</v>
      </c>
      <c r="F11" s="16">
        <v>0</v>
      </c>
      <c r="G11" s="16">
        <v>0.29499999999999998</v>
      </c>
      <c r="H11" s="16">
        <v>0.16600000000000001</v>
      </c>
      <c r="I11" s="16">
        <v>0</v>
      </c>
      <c r="J11" s="16">
        <v>0</v>
      </c>
    </row>
    <row r="12" spans="1:10" ht="15.75" thickBot="1" x14ac:dyDescent="0.3">
      <c r="A12" s="15">
        <v>10</v>
      </c>
      <c r="B12" s="16">
        <v>3</v>
      </c>
      <c r="C12" s="16">
        <v>1</v>
      </c>
      <c r="D12" s="16">
        <v>0</v>
      </c>
      <c r="E12" s="16">
        <v>0</v>
      </c>
      <c r="F12" s="16">
        <v>0</v>
      </c>
      <c r="G12" s="16">
        <v>0.09</v>
      </c>
      <c r="H12" s="16">
        <v>5.8000000000000003E-2</v>
      </c>
      <c r="I12" s="16">
        <v>0</v>
      </c>
      <c r="J12" s="16">
        <v>0</v>
      </c>
    </row>
    <row r="13" spans="1:10" ht="15.75" thickBot="1" x14ac:dyDescent="0.3">
      <c r="A13" s="15">
        <v>11</v>
      </c>
      <c r="B13" s="16">
        <v>3</v>
      </c>
      <c r="C13" s="16">
        <v>1</v>
      </c>
      <c r="D13" s="16">
        <v>0</v>
      </c>
      <c r="E13" s="16">
        <v>0</v>
      </c>
      <c r="F13" s="16">
        <v>0</v>
      </c>
      <c r="G13" s="16">
        <v>3.5000000000000003E-2</v>
      </c>
      <c r="H13" s="16">
        <v>1.7999999999999999E-2</v>
      </c>
      <c r="I13" s="16">
        <v>0</v>
      </c>
      <c r="J13" s="16">
        <v>0</v>
      </c>
    </row>
    <row r="14" spans="1:10" ht="15.75" thickBot="1" x14ac:dyDescent="0.3">
      <c r="A14" s="15">
        <v>12</v>
      </c>
      <c r="B14" s="16">
        <v>3</v>
      </c>
      <c r="C14" s="16">
        <v>1</v>
      </c>
      <c r="D14" s="16">
        <v>0</v>
      </c>
      <c r="E14" s="16">
        <v>0</v>
      </c>
      <c r="F14" s="16">
        <v>0</v>
      </c>
      <c r="G14" s="16">
        <v>6.0999999999999999E-2</v>
      </c>
      <c r="H14" s="16">
        <v>1.6E-2</v>
      </c>
      <c r="I14" s="16">
        <v>0</v>
      </c>
      <c r="J14" s="16">
        <v>0</v>
      </c>
    </row>
    <row r="15" spans="1:10" ht="15.75" thickBot="1" x14ac:dyDescent="0.3">
      <c r="A15" s="15">
        <v>13</v>
      </c>
      <c r="B15" s="16">
        <v>3</v>
      </c>
      <c r="C15" s="16">
        <v>1</v>
      </c>
      <c r="D15" s="16">
        <v>0</v>
      </c>
      <c r="E15" s="16">
        <v>0</v>
      </c>
      <c r="F15" s="16">
        <v>0</v>
      </c>
      <c r="G15" s="16">
        <v>0.13500000000000001</v>
      </c>
      <c r="H15" s="16">
        <v>5.8000000000000003E-2</v>
      </c>
      <c r="I15" s="16">
        <v>0</v>
      </c>
      <c r="J15" s="16">
        <v>0</v>
      </c>
    </row>
    <row r="16" spans="1:10" ht="15.75" thickBot="1" x14ac:dyDescent="0.3">
      <c r="A16" s="15">
        <v>14</v>
      </c>
      <c r="B16" s="16">
        <v>3</v>
      </c>
      <c r="C16" s="16">
        <v>1</v>
      </c>
      <c r="D16" s="16">
        <v>0</v>
      </c>
      <c r="E16" s="16">
        <v>0</v>
      </c>
      <c r="F16" s="16">
        <v>0</v>
      </c>
      <c r="G16" s="16">
        <v>0.14899999999999999</v>
      </c>
      <c r="H16" s="16">
        <v>0.05</v>
      </c>
      <c r="I16" s="16">
        <v>0</v>
      </c>
      <c r="J16" s="16">
        <v>0</v>
      </c>
    </row>
  </sheetData>
  <mergeCells count="6">
    <mergeCell ref="H1:H2"/>
    <mergeCell ref="A1:A2"/>
    <mergeCell ref="B1:B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7E-411E-49E0-A6BE-04452CAB2F22}">
  <dimension ref="A1:H33"/>
  <sheetViews>
    <sheetView zoomScaleNormal="100" workbookViewId="0">
      <selection activeCell="G13" sqref="G13"/>
    </sheetView>
  </sheetViews>
  <sheetFormatPr baseColWidth="10" defaultRowHeight="15" x14ac:dyDescent="0.25"/>
  <cols>
    <col min="2" max="2" width="12.28515625" customWidth="1"/>
    <col min="3" max="3" width="13.42578125" customWidth="1"/>
    <col min="5" max="5" width="13.28515625" customWidth="1"/>
    <col min="6" max="6" width="12.140625" customWidth="1"/>
    <col min="7" max="7" width="17.42578125" customWidth="1"/>
    <col min="8" max="8" width="15.28515625" customWidth="1"/>
    <col min="9" max="9" width="11.85546875" customWidth="1"/>
    <col min="10" max="10" width="15.7109375" customWidth="1"/>
  </cols>
  <sheetData>
    <row r="1" spans="1:6" ht="25.5" x14ac:dyDescent="0.25">
      <c r="A1" s="13" t="s">
        <v>37</v>
      </c>
      <c r="B1" s="32" t="s">
        <v>38</v>
      </c>
      <c r="C1" s="11" t="s">
        <v>39</v>
      </c>
      <c r="D1" s="32" t="s">
        <v>40</v>
      </c>
      <c r="E1" s="11" t="s">
        <v>41</v>
      </c>
      <c r="F1" s="11" t="s">
        <v>43</v>
      </c>
    </row>
    <row r="2" spans="1:6" ht="26.25" thickBot="1" x14ac:dyDescent="0.3">
      <c r="A2" s="14" t="s">
        <v>23</v>
      </c>
      <c r="B2" s="33"/>
      <c r="C2" s="12" t="s">
        <v>25</v>
      </c>
      <c r="D2" s="33"/>
      <c r="E2" s="12" t="s">
        <v>42</v>
      </c>
      <c r="F2" s="12" t="s">
        <v>44</v>
      </c>
    </row>
    <row r="3" spans="1:6" ht="15.75" thickBot="1" x14ac:dyDescent="0.3">
      <c r="A3" s="15">
        <v>1</v>
      </c>
      <c r="B3" s="16">
        <v>2</v>
      </c>
      <c r="C3" s="16">
        <v>1.9380000000000001E-2</v>
      </c>
      <c r="D3" s="16">
        <v>5.917E-2</v>
      </c>
      <c r="E3" s="16">
        <v>2.64E-2</v>
      </c>
      <c r="F3" s="16">
        <v>1</v>
      </c>
    </row>
    <row r="4" spans="1:6" ht="15.75" thickBot="1" x14ac:dyDescent="0.3">
      <c r="A4" s="15">
        <v>1</v>
      </c>
      <c r="B4" s="16">
        <v>5</v>
      </c>
      <c r="C4" s="16">
        <v>5.4030000000000002E-2</v>
      </c>
      <c r="D4" s="16">
        <v>0.22303999999999999</v>
      </c>
      <c r="E4" s="16">
        <v>2.46E-2</v>
      </c>
      <c r="F4" s="16">
        <v>1</v>
      </c>
    </row>
    <row r="5" spans="1:6" ht="15.75" thickBot="1" x14ac:dyDescent="0.3">
      <c r="A5" s="15">
        <v>2</v>
      </c>
      <c r="B5" s="16">
        <v>3</v>
      </c>
      <c r="C5" s="16">
        <v>4.6989999999999997E-2</v>
      </c>
      <c r="D5" s="16">
        <v>0.19797000000000001</v>
      </c>
      <c r="E5" s="16">
        <v>2.1899999999999999E-2</v>
      </c>
      <c r="F5" s="16">
        <v>1</v>
      </c>
    </row>
    <row r="6" spans="1:6" ht="15.75" thickBot="1" x14ac:dyDescent="0.3">
      <c r="A6" s="15">
        <v>2</v>
      </c>
      <c r="B6" s="16">
        <v>4</v>
      </c>
      <c r="C6" s="16">
        <v>5.8110000000000002E-2</v>
      </c>
      <c r="D6" s="16">
        <v>0.17632</v>
      </c>
      <c r="E6" s="16">
        <v>1.7000000000000001E-2</v>
      </c>
      <c r="F6" s="16">
        <v>1</v>
      </c>
    </row>
    <row r="7" spans="1:6" ht="15.75" thickBot="1" x14ac:dyDescent="0.3">
      <c r="A7" s="15">
        <v>2</v>
      </c>
      <c r="B7" s="16">
        <v>5</v>
      </c>
      <c r="C7" s="16">
        <v>5.6950000000000001E-2</v>
      </c>
      <c r="D7" s="16">
        <v>0.17388000000000001</v>
      </c>
      <c r="E7" s="16">
        <v>1.7299999999999999E-2</v>
      </c>
      <c r="F7" s="16">
        <v>1</v>
      </c>
    </row>
    <row r="8" spans="1:6" ht="15.75" thickBot="1" x14ac:dyDescent="0.3">
      <c r="A8" s="15">
        <v>3</v>
      </c>
      <c r="B8" s="16">
        <v>4</v>
      </c>
      <c r="C8" s="16">
        <v>6.701E-2</v>
      </c>
      <c r="D8" s="16">
        <v>0.17102999999999999</v>
      </c>
      <c r="E8" s="16">
        <v>6.4000000000000003E-3</v>
      </c>
      <c r="F8" s="16">
        <v>1</v>
      </c>
    </row>
    <row r="9" spans="1:6" ht="15.75" thickBot="1" x14ac:dyDescent="0.3">
      <c r="A9" s="15">
        <v>4</v>
      </c>
      <c r="B9" s="16">
        <v>5</v>
      </c>
      <c r="C9" s="16">
        <v>1.3350000000000001E-2</v>
      </c>
      <c r="D9" s="16">
        <v>4.2110000000000002E-2</v>
      </c>
      <c r="E9" s="16">
        <v>0</v>
      </c>
      <c r="F9" s="16">
        <v>1</v>
      </c>
    </row>
    <row r="10" spans="1:6" ht="15.75" thickBot="1" x14ac:dyDescent="0.3">
      <c r="A10" s="15">
        <v>4</v>
      </c>
      <c r="B10" s="16">
        <v>7</v>
      </c>
      <c r="C10" s="16">
        <v>0</v>
      </c>
      <c r="D10" s="16">
        <v>0.20912</v>
      </c>
      <c r="E10" s="16">
        <v>0</v>
      </c>
      <c r="F10" s="16">
        <v>0.97799999999999998</v>
      </c>
    </row>
    <row r="11" spans="1:6" ht="15.75" thickBot="1" x14ac:dyDescent="0.3">
      <c r="A11" s="15">
        <v>4</v>
      </c>
      <c r="B11" s="16">
        <v>9</v>
      </c>
      <c r="C11" s="16">
        <v>0</v>
      </c>
      <c r="D11" s="16">
        <v>0.55618000000000001</v>
      </c>
      <c r="E11" s="16">
        <v>0</v>
      </c>
      <c r="F11" s="16">
        <v>0.96899999999999997</v>
      </c>
    </row>
    <row r="12" spans="1:6" ht="15.75" thickBot="1" x14ac:dyDescent="0.3">
      <c r="A12" s="15">
        <v>5</v>
      </c>
      <c r="B12" s="16">
        <v>6</v>
      </c>
      <c r="C12" s="16">
        <v>0</v>
      </c>
      <c r="D12" s="16">
        <v>0.25202000000000002</v>
      </c>
      <c r="E12" s="16">
        <v>0</v>
      </c>
      <c r="F12" s="16">
        <v>0.93200000000000005</v>
      </c>
    </row>
    <row r="13" spans="1:6" ht="15.75" thickBot="1" x14ac:dyDescent="0.3">
      <c r="A13" s="15">
        <v>6</v>
      </c>
      <c r="B13" s="16">
        <v>11</v>
      </c>
      <c r="C13" s="16">
        <v>9.4979999999999995E-2</v>
      </c>
      <c r="D13" s="16">
        <v>0.19889999999999999</v>
      </c>
      <c r="E13" s="16">
        <v>0</v>
      </c>
      <c r="F13" s="16">
        <v>1</v>
      </c>
    </row>
    <row r="14" spans="1:6" ht="15.75" thickBot="1" x14ac:dyDescent="0.3">
      <c r="A14" s="15">
        <v>6</v>
      </c>
      <c r="B14" s="16">
        <v>12</v>
      </c>
      <c r="C14" s="16">
        <v>0.12291000000000001</v>
      </c>
      <c r="D14" s="16">
        <v>0.25580999999999998</v>
      </c>
      <c r="E14" s="16">
        <v>0</v>
      </c>
      <c r="F14" s="16">
        <v>1</v>
      </c>
    </row>
    <row r="15" spans="1:6" ht="15.75" thickBot="1" x14ac:dyDescent="0.3">
      <c r="A15" s="15">
        <v>6</v>
      </c>
      <c r="B15" s="16">
        <v>13</v>
      </c>
      <c r="C15" s="16">
        <v>6.615E-2</v>
      </c>
      <c r="D15" s="16">
        <v>0.13027</v>
      </c>
      <c r="E15" s="16">
        <v>0</v>
      </c>
      <c r="F15" s="16">
        <v>1</v>
      </c>
    </row>
    <row r="16" spans="1:6" ht="15.75" thickBot="1" x14ac:dyDescent="0.3">
      <c r="A16" s="15">
        <v>7</v>
      </c>
      <c r="B16" s="16">
        <v>8</v>
      </c>
      <c r="C16" s="16">
        <v>0</v>
      </c>
      <c r="D16" s="16">
        <v>0.17615</v>
      </c>
      <c r="E16" s="16">
        <v>0</v>
      </c>
      <c r="F16" s="16">
        <v>1</v>
      </c>
    </row>
    <row r="17" spans="1:8" ht="15.75" thickBot="1" x14ac:dyDescent="0.3">
      <c r="A17" s="15">
        <v>7</v>
      </c>
      <c r="B17" s="16">
        <v>9</v>
      </c>
      <c r="C17" s="16">
        <v>0</v>
      </c>
      <c r="D17" s="16">
        <v>0.11001</v>
      </c>
      <c r="E17" s="16">
        <v>0</v>
      </c>
      <c r="F17" s="16">
        <v>1</v>
      </c>
    </row>
    <row r="18" spans="1:8" ht="15.75" thickBot="1" x14ac:dyDescent="0.3">
      <c r="A18" s="15">
        <v>9</v>
      </c>
      <c r="B18" s="16">
        <v>10</v>
      </c>
      <c r="C18" s="16">
        <v>3.1809999999999998E-2</v>
      </c>
      <c r="D18" s="16">
        <v>8.4500000000000006E-2</v>
      </c>
      <c r="E18" s="16">
        <v>0</v>
      </c>
      <c r="F18" s="16">
        <v>1</v>
      </c>
    </row>
    <row r="19" spans="1:8" ht="15.75" thickBot="1" x14ac:dyDescent="0.3">
      <c r="A19" s="15">
        <v>9</v>
      </c>
      <c r="B19" s="16">
        <v>14</v>
      </c>
      <c r="C19" s="16">
        <v>0.12711</v>
      </c>
      <c r="D19" s="16">
        <v>0.27038000000000001</v>
      </c>
      <c r="E19" s="16">
        <v>0</v>
      </c>
      <c r="F19" s="16">
        <v>1</v>
      </c>
    </row>
    <row r="20" spans="1:8" ht="15.75" thickBot="1" x14ac:dyDescent="0.3">
      <c r="A20" s="24">
        <v>10</v>
      </c>
      <c r="B20" s="25">
        <v>11</v>
      </c>
      <c r="C20" s="25">
        <v>8.2049999999999998E-2</v>
      </c>
      <c r="D20" s="25">
        <v>0.19206999999999999</v>
      </c>
      <c r="E20" s="25">
        <v>0</v>
      </c>
      <c r="F20" s="25">
        <v>1</v>
      </c>
    </row>
    <row r="21" spans="1:8" ht="15.75" thickBot="1" x14ac:dyDescent="0.3">
      <c r="A21" s="26">
        <v>12</v>
      </c>
      <c r="B21" s="27">
        <v>13</v>
      </c>
      <c r="C21" s="27">
        <v>0.22092000000000001</v>
      </c>
      <c r="D21" s="27">
        <v>0.19988</v>
      </c>
      <c r="E21" s="27">
        <v>0</v>
      </c>
      <c r="F21" s="27">
        <v>1</v>
      </c>
    </row>
    <row r="22" spans="1:8" ht="15.75" thickBot="1" x14ac:dyDescent="0.3">
      <c r="A22" s="26">
        <v>13</v>
      </c>
      <c r="B22" s="27">
        <v>14</v>
      </c>
      <c r="C22" s="27">
        <v>0.17093</v>
      </c>
      <c r="D22" s="27">
        <v>0.34802</v>
      </c>
      <c r="E22" s="27">
        <v>0</v>
      </c>
      <c r="F22" s="27">
        <v>1</v>
      </c>
    </row>
    <row r="32" spans="1:8" x14ac:dyDescent="0.25">
      <c r="H32" t="s">
        <v>51</v>
      </c>
    </row>
    <row r="33" spans="8:8" x14ac:dyDescent="0.25">
      <c r="H33" t="s">
        <v>52</v>
      </c>
    </row>
  </sheetData>
  <mergeCells count="2">
    <mergeCell ref="B1:B2"/>
    <mergeCell ref="D1:D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52FD-3FD3-4272-8DA7-5C66CADD49ED}">
  <dimension ref="A1:N15"/>
  <sheetViews>
    <sheetView tabSelected="1" zoomScale="115" zoomScaleNormal="115" workbookViewId="0">
      <selection activeCell="F2" sqref="F2"/>
    </sheetView>
  </sheetViews>
  <sheetFormatPr baseColWidth="10" defaultRowHeight="15" x14ac:dyDescent="0.25"/>
  <cols>
    <col min="2" max="2" width="17.7109375" customWidth="1"/>
    <col min="3" max="3" width="14.28515625" customWidth="1"/>
    <col min="6" max="6" width="12" bestFit="1" customWidth="1"/>
    <col min="10" max="10" width="10.5703125" customWidth="1"/>
  </cols>
  <sheetData>
    <row r="1" spans="1:14" ht="20.25" x14ac:dyDescent="0.25">
      <c r="A1" s="1" t="s">
        <v>3</v>
      </c>
      <c r="B1" s="1" t="s">
        <v>49</v>
      </c>
      <c r="C1" s="1" t="s">
        <v>0</v>
      </c>
      <c r="D1" s="1" t="s">
        <v>1</v>
      </c>
      <c r="E1" s="1" t="s">
        <v>4</v>
      </c>
      <c r="F1" s="1" t="s">
        <v>20</v>
      </c>
      <c r="G1" s="1" t="s">
        <v>2</v>
      </c>
      <c r="I1" s="1" t="s">
        <v>53</v>
      </c>
      <c r="J1" s="1" t="s">
        <v>54</v>
      </c>
    </row>
    <row r="2" spans="1:14" x14ac:dyDescent="0.25">
      <c r="A2" s="2">
        <f>'raw buses'!A3</f>
        <v>1</v>
      </c>
      <c r="B2" s="21">
        <f>'raw buses'!B3</f>
        <v>1</v>
      </c>
      <c r="C2" s="2" t="str">
        <f>CHOOSE(B2,"Slack","PV","PQ")</f>
        <v>Slack</v>
      </c>
      <c r="D2" s="2">
        <f>'raw buses'!E3-'raw buses'!G3</f>
        <v>0</v>
      </c>
      <c r="E2" s="2">
        <f>'raw buses'!F3-'raw buses'!H3</f>
        <v>0</v>
      </c>
      <c r="F2" s="2">
        <f>'raw buses'!C3*SQRT(3)</f>
        <v>1.8359738560230099</v>
      </c>
      <c r="G2" s="2">
        <f>'raw buses'!D3</f>
        <v>0</v>
      </c>
      <c r="I2">
        <f>F2</f>
        <v>1.8359738560230099</v>
      </c>
      <c r="J2">
        <f>G2</f>
        <v>0</v>
      </c>
    </row>
    <row r="3" spans="1:14" x14ac:dyDescent="0.25">
      <c r="A3" s="2">
        <f>'raw buses'!A4</f>
        <v>2</v>
      </c>
      <c r="B3" s="21">
        <f>'raw buses'!B4</f>
        <v>2</v>
      </c>
      <c r="C3" s="2" t="str">
        <f t="shared" ref="C3:C15" si="0">CHOOSE(B3,"Slack","PV","PQ")</f>
        <v>PV</v>
      </c>
      <c r="D3" s="2">
        <f>'raw buses'!E4-'raw buses'!G4</f>
        <v>0.18300000000000002</v>
      </c>
      <c r="E3" s="2">
        <f>'raw buses'!F4-'raw buses'!H4</f>
        <v>0.29699999999999999</v>
      </c>
      <c r="F3" s="2">
        <f>'raw buses'!C4*SQRT(3)</f>
        <v>1.8099930939094766</v>
      </c>
      <c r="G3" s="2">
        <f>'raw buses'!D4</f>
        <v>0</v>
      </c>
      <c r="I3">
        <f t="shared" ref="I3:I15" si="1">F3</f>
        <v>1.8099930939094766</v>
      </c>
      <c r="J3">
        <f t="shared" ref="J3:J15" si="2">G3</f>
        <v>0</v>
      </c>
    </row>
    <row r="4" spans="1:14" x14ac:dyDescent="0.25">
      <c r="A4" s="2">
        <f>'raw buses'!A5</f>
        <v>3</v>
      </c>
      <c r="B4" s="21">
        <f>'raw buses'!B5</f>
        <v>2</v>
      </c>
      <c r="C4" s="2" t="str">
        <f t="shared" si="0"/>
        <v>PV</v>
      </c>
      <c r="D4" s="2">
        <f>'raw buses'!E5-'raw buses'!G5</f>
        <v>-0.94199999999999995</v>
      </c>
      <c r="E4" s="2">
        <f>'raw buses'!F5-'raw buses'!H5</f>
        <v>4.4000000000000011E-2</v>
      </c>
      <c r="F4" s="2">
        <f>'raw buses'!C5*SQRT(3)</f>
        <v>1.749371315644566</v>
      </c>
      <c r="G4" s="2">
        <f>'raw buses'!D5</f>
        <v>0</v>
      </c>
      <c r="I4">
        <f t="shared" si="1"/>
        <v>1.749371315644566</v>
      </c>
      <c r="J4">
        <f t="shared" si="2"/>
        <v>0</v>
      </c>
    </row>
    <row r="5" spans="1:14" x14ac:dyDescent="0.25">
      <c r="A5" s="2">
        <f>'raw buses'!A6</f>
        <v>4</v>
      </c>
      <c r="B5" s="21">
        <f>'raw buses'!B6</f>
        <v>3</v>
      </c>
      <c r="C5" s="2" t="str">
        <f t="shared" si="0"/>
        <v>PQ</v>
      </c>
      <c r="D5" s="2">
        <f>'raw buses'!E6-'raw buses'!G6</f>
        <v>-0.47799999999999998</v>
      </c>
      <c r="E5" s="2">
        <f>'raw buses'!F6-'raw buses'!H6</f>
        <v>0</v>
      </c>
      <c r="F5" s="2">
        <f>'raw buses'!C6*SQRT(3)</f>
        <v>1.7320508075688772</v>
      </c>
      <c r="G5" s="2">
        <f>'raw buses'!D6</f>
        <v>0</v>
      </c>
      <c r="I5">
        <f t="shared" si="1"/>
        <v>1.7320508075688772</v>
      </c>
      <c r="J5">
        <f t="shared" si="2"/>
        <v>0</v>
      </c>
      <c r="N5" s="4" t="s">
        <v>6</v>
      </c>
    </row>
    <row r="6" spans="1:14" x14ac:dyDescent="0.25">
      <c r="A6" s="2">
        <f>'raw buses'!A7</f>
        <v>5</v>
      </c>
      <c r="B6" s="21">
        <f>'raw buses'!B7</f>
        <v>3</v>
      </c>
      <c r="C6" s="2" t="str">
        <f t="shared" si="0"/>
        <v>PQ</v>
      </c>
      <c r="D6" s="2">
        <f>'raw buses'!E7-'raw buses'!G7</f>
        <v>-7.5999999999999998E-2</v>
      </c>
      <c r="E6" s="2">
        <f>'raw buses'!F7-'raw buses'!H7</f>
        <v>-1.6E-2</v>
      </c>
      <c r="F6" s="2">
        <f>'raw buses'!C7*SQRT(3)</f>
        <v>1.7320508075688772</v>
      </c>
      <c r="G6" s="2">
        <f>'raw buses'!D7</f>
        <v>0</v>
      </c>
      <c r="I6">
        <f t="shared" si="1"/>
        <v>1.7320508075688772</v>
      </c>
      <c r="J6">
        <f t="shared" si="2"/>
        <v>0</v>
      </c>
      <c r="N6" s="5" t="str">
        <f>"- Especificar los valores en unidades del sistema internacional"</f>
        <v>- Especificar los valores en unidades del sistema internacional</v>
      </c>
    </row>
    <row r="7" spans="1:14" x14ac:dyDescent="0.25">
      <c r="A7" s="2">
        <f>'raw buses'!A8</f>
        <v>6</v>
      </c>
      <c r="B7" s="21">
        <f>'raw buses'!B8</f>
        <v>2</v>
      </c>
      <c r="C7" s="2" t="str">
        <f t="shared" si="0"/>
        <v>PV</v>
      </c>
      <c r="D7" s="2">
        <f>'raw buses'!E8-'raw buses'!G8</f>
        <v>-0.112</v>
      </c>
      <c r="E7" s="2">
        <f>'raw buses'!F8-'raw buses'!H8</f>
        <v>4.7E-2</v>
      </c>
      <c r="F7" s="2">
        <f>'raw buses'!C8*SQRT(3)</f>
        <v>1.8532943640986987</v>
      </c>
      <c r="G7" s="2">
        <f>'raw buses'!D8</f>
        <v>0</v>
      </c>
      <c r="I7">
        <f t="shared" si="1"/>
        <v>1.8532943640986987</v>
      </c>
      <c r="J7">
        <f t="shared" si="2"/>
        <v>0</v>
      </c>
      <c r="N7" s="5" t="str">
        <f>"- Se considera P positiva aquella que es generada, y negativa aquella que se consume"</f>
        <v>- Se considera P positiva aquella que es generada, y negativa aquella que se consume</v>
      </c>
    </row>
    <row r="8" spans="1:14" x14ac:dyDescent="0.25">
      <c r="A8" s="2">
        <f>'raw buses'!A9</f>
        <v>7</v>
      </c>
      <c r="B8" s="21">
        <f>'raw buses'!B9</f>
        <v>3</v>
      </c>
      <c r="C8" s="2" t="str">
        <f t="shared" si="0"/>
        <v>PQ</v>
      </c>
      <c r="D8" s="2">
        <f>'raw buses'!E9-'raw buses'!G9</f>
        <v>0</v>
      </c>
      <c r="E8" s="2">
        <f>'raw buses'!F9-'raw buses'!H9</f>
        <v>0</v>
      </c>
      <c r="F8" s="2">
        <f>'raw buses'!C9*SQRT(3)</f>
        <v>1.7320508075688772</v>
      </c>
      <c r="G8" s="2">
        <f>'raw buses'!D9</f>
        <v>0</v>
      </c>
      <c r="I8">
        <f t="shared" si="1"/>
        <v>1.7320508075688772</v>
      </c>
      <c r="J8">
        <f t="shared" si="2"/>
        <v>0</v>
      </c>
      <c r="N8" s="5" t="str">
        <f>"- Se considera Q positiva aquella que es generada (condensador), y negativa aquella que se consume (bobina)"</f>
        <v>- Se considera Q positiva aquella que es generada (condensador), y negativa aquella que se consume (bobina)</v>
      </c>
    </row>
    <row r="9" spans="1:14" x14ac:dyDescent="0.25">
      <c r="A9" s="2">
        <f>'raw buses'!A10</f>
        <v>8</v>
      </c>
      <c r="B9" s="21">
        <f>'raw buses'!B10</f>
        <v>2</v>
      </c>
      <c r="C9" s="2" t="str">
        <f t="shared" si="0"/>
        <v>PV</v>
      </c>
      <c r="D9" s="2">
        <f>'raw buses'!E10-'raw buses'!G10</f>
        <v>0</v>
      </c>
      <c r="E9" s="2">
        <f>'raw buses'!F10-'raw buses'!H10</f>
        <v>0.17399999999999999</v>
      </c>
      <c r="F9" s="2">
        <f>'raw buses'!C10*SQRT(3)</f>
        <v>1.8879353802500762</v>
      </c>
      <c r="G9" s="2">
        <f>'raw buses'!D10</f>
        <v>0</v>
      </c>
      <c r="I9">
        <f t="shared" si="1"/>
        <v>1.8879353802500762</v>
      </c>
      <c r="J9">
        <f t="shared" si="2"/>
        <v>0</v>
      </c>
      <c r="N9" s="5" t="str">
        <f>"- El orden de las columnas no importa, solo las etiquetas de su cabecera (Type, P, Q, etc)"</f>
        <v>- El orden de las columnas no importa, solo las etiquetas de su cabecera (Type, P, Q, etc)</v>
      </c>
    </row>
    <row r="10" spans="1:14" x14ac:dyDescent="0.25">
      <c r="A10" s="2">
        <f>'raw buses'!A11</f>
        <v>9</v>
      </c>
      <c r="B10" s="21">
        <f>'raw buses'!B11</f>
        <v>3</v>
      </c>
      <c r="C10" s="2" t="str">
        <f t="shared" si="0"/>
        <v>PQ</v>
      </c>
      <c r="D10" s="2">
        <f>'raw buses'!E11-'raw buses'!G11</f>
        <v>-0.29499999999999998</v>
      </c>
      <c r="E10" s="2">
        <f>'raw buses'!F11-'raw buses'!H11  + 0.19</f>
        <v>2.3999999999999994E-2</v>
      </c>
      <c r="F10" s="2">
        <f>'raw buses'!C11*SQRT(3)</f>
        <v>1.7320508075688772</v>
      </c>
      <c r="G10" s="2">
        <f>'raw buses'!D11</f>
        <v>0</v>
      </c>
      <c r="I10">
        <f t="shared" si="1"/>
        <v>1.7320508075688772</v>
      </c>
      <c r="J10">
        <f t="shared" si="2"/>
        <v>0</v>
      </c>
      <c r="N10" s="5" t="str">
        <f>"- Los angulos se considerarán en radianes"</f>
        <v>- Los angulos se considerarán en radianes</v>
      </c>
    </row>
    <row r="11" spans="1:14" x14ac:dyDescent="0.25">
      <c r="A11" s="2">
        <f>'raw buses'!A12</f>
        <v>10</v>
      </c>
      <c r="B11" s="21">
        <f>'raw buses'!B12</f>
        <v>3</v>
      </c>
      <c r="C11" s="2" t="str">
        <f t="shared" si="0"/>
        <v>PQ</v>
      </c>
      <c r="D11" s="2">
        <f>'raw buses'!E12-'raw buses'!G12</f>
        <v>-0.09</v>
      </c>
      <c r="E11" s="2">
        <f>'raw buses'!F12-'raw buses'!H12</f>
        <v>-5.8000000000000003E-2</v>
      </c>
      <c r="F11" s="2">
        <f>'raw buses'!C12*SQRT(3)</f>
        <v>1.7320508075688772</v>
      </c>
      <c r="G11" s="2">
        <f>'raw buses'!D12</f>
        <v>0</v>
      </c>
      <c r="I11">
        <f t="shared" si="1"/>
        <v>1.7320508075688772</v>
      </c>
      <c r="J11">
        <f t="shared" si="2"/>
        <v>0</v>
      </c>
      <c r="N11" s="5" t="str">
        <f>"- La V es la tension fase-neutro, no la de linea."</f>
        <v>- La V es la tension fase-neutro, no la de linea.</v>
      </c>
    </row>
    <row r="12" spans="1:14" x14ac:dyDescent="0.25">
      <c r="A12" s="2">
        <f>'raw buses'!A13</f>
        <v>11</v>
      </c>
      <c r="B12" s="21">
        <f>'raw buses'!B13</f>
        <v>3</v>
      </c>
      <c r="C12" s="2" t="str">
        <f t="shared" si="0"/>
        <v>PQ</v>
      </c>
      <c r="D12" s="2">
        <f>'raw buses'!E13-'raw buses'!G13</f>
        <v>-3.5000000000000003E-2</v>
      </c>
      <c r="E12" s="2">
        <f>'raw buses'!F13-'raw buses'!H13</f>
        <v>-1.7999999999999999E-2</v>
      </c>
      <c r="F12" s="2">
        <f>'raw buses'!C13*SQRT(3)</f>
        <v>1.7320508075688772</v>
      </c>
      <c r="G12" s="2">
        <f>'raw buses'!D13</f>
        <v>0</v>
      </c>
      <c r="I12">
        <f t="shared" si="1"/>
        <v>1.7320508075688772</v>
      </c>
      <c r="J12">
        <f t="shared" si="2"/>
        <v>0</v>
      </c>
    </row>
    <row r="13" spans="1:14" x14ac:dyDescent="0.25">
      <c r="A13" s="2">
        <f>'raw buses'!A14</f>
        <v>12</v>
      </c>
      <c r="B13" s="21">
        <f>'raw buses'!B14</f>
        <v>3</v>
      </c>
      <c r="C13" s="2" t="str">
        <f t="shared" si="0"/>
        <v>PQ</v>
      </c>
      <c r="D13" s="2">
        <f>'raw buses'!E14-'raw buses'!G14</f>
        <v>-6.0999999999999999E-2</v>
      </c>
      <c r="E13" s="2">
        <f>'raw buses'!F14-'raw buses'!H14</f>
        <v>-1.6E-2</v>
      </c>
      <c r="F13" s="2">
        <f>'raw buses'!C14*SQRT(3)</f>
        <v>1.7320508075688772</v>
      </c>
      <c r="G13" s="2">
        <f>'raw buses'!D14</f>
        <v>0</v>
      </c>
      <c r="I13">
        <f t="shared" si="1"/>
        <v>1.7320508075688772</v>
      </c>
      <c r="J13">
        <f t="shared" si="2"/>
        <v>0</v>
      </c>
    </row>
    <row r="14" spans="1:14" x14ac:dyDescent="0.25">
      <c r="A14" s="2">
        <f>'raw buses'!A15</f>
        <v>13</v>
      </c>
      <c r="B14" s="21">
        <f>'raw buses'!B15</f>
        <v>3</v>
      </c>
      <c r="C14" s="2" t="str">
        <f t="shared" si="0"/>
        <v>PQ</v>
      </c>
      <c r="D14" s="2">
        <f>'raw buses'!E15-'raw buses'!G15</f>
        <v>-0.13500000000000001</v>
      </c>
      <c r="E14" s="2">
        <f>'raw buses'!F15-'raw buses'!H15</f>
        <v>-5.8000000000000003E-2</v>
      </c>
      <c r="F14" s="2">
        <f>'raw buses'!C15*SQRT(3)</f>
        <v>1.7320508075688772</v>
      </c>
      <c r="G14" s="2">
        <f>'raw buses'!D15</f>
        <v>0</v>
      </c>
      <c r="I14">
        <f t="shared" si="1"/>
        <v>1.7320508075688772</v>
      </c>
      <c r="J14">
        <f t="shared" si="2"/>
        <v>0</v>
      </c>
    </row>
    <row r="15" spans="1:14" x14ac:dyDescent="0.25">
      <c r="A15" s="22">
        <f>'raw buses'!A16</f>
        <v>14</v>
      </c>
      <c r="B15" s="23">
        <f>'raw buses'!B16</f>
        <v>3</v>
      </c>
      <c r="C15" s="22" t="str">
        <f t="shared" si="0"/>
        <v>PQ</v>
      </c>
      <c r="D15" s="22">
        <f>'raw buses'!E16-'raw buses'!G16</f>
        <v>-0.14899999999999999</v>
      </c>
      <c r="E15" s="22">
        <f>'raw buses'!F16-'raw buses'!H16</f>
        <v>-0.05</v>
      </c>
      <c r="F15" s="2">
        <f>'raw buses'!C16*SQRT(3)</f>
        <v>1.7320508075688772</v>
      </c>
      <c r="G15" s="22">
        <f>'raw buses'!D16</f>
        <v>0</v>
      </c>
      <c r="I15">
        <f t="shared" si="1"/>
        <v>1.7320508075688772</v>
      </c>
      <c r="J15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E0F6-E600-4AE9-AA78-D56FA7575D21}">
  <dimension ref="A1:N21"/>
  <sheetViews>
    <sheetView zoomScale="85" zoomScaleNormal="85" workbookViewId="0">
      <selection activeCell="I2" sqref="I2:I21"/>
    </sheetView>
  </sheetViews>
  <sheetFormatPr baseColWidth="10" defaultRowHeight="15" x14ac:dyDescent="0.25"/>
  <cols>
    <col min="6" max="6" width="13.7109375" customWidth="1"/>
    <col min="7" max="7" width="16.7109375" customWidth="1"/>
    <col min="8" max="8" width="18.28515625" customWidth="1"/>
    <col min="10" max="10" width="18.7109375" customWidth="1"/>
    <col min="11" max="11" width="15.140625" customWidth="1"/>
    <col min="14" max="14" width="228.85546875" customWidth="1"/>
    <col min="52" max="52" width="11.42578125" customWidth="1"/>
  </cols>
  <sheetData>
    <row r="1" spans="1:14" ht="20.25" x14ac:dyDescent="0.25">
      <c r="A1" s="1" t="s">
        <v>3</v>
      </c>
      <c r="B1" s="1" t="s">
        <v>7</v>
      </c>
      <c r="C1" s="1" t="s">
        <v>8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9</v>
      </c>
      <c r="I1" s="1" t="s">
        <v>10</v>
      </c>
      <c r="J1" s="1" t="s">
        <v>50</v>
      </c>
      <c r="K1" s="1" t="s">
        <v>11</v>
      </c>
      <c r="L1" s="1" t="s">
        <v>12</v>
      </c>
    </row>
    <row r="2" spans="1:14" x14ac:dyDescent="0.25">
      <c r="A2" s="3">
        <v>1</v>
      </c>
      <c r="B2" s="3">
        <f>'raw lines'!A3</f>
        <v>1</v>
      </c>
      <c r="C2" s="3">
        <f>'raw lines'!B3</f>
        <v>2</v>
      </c>
      <c r="D2" s="17">
        <f>'raw lines'!C3</f>
        <v>1.9380000000000001E-2</v>
      </c>
      <c r="E2" s="17">
        <f>'raw lines'!D3</f>
        <v>5.917E-2</v>
      </c>
      <c r="F2" s="17">
        <f>'raw lines'!E3</f>
        <v>2.64E-2</v>
      </c>
      <c r="G2" s="17">
        <f>'raw lines'!F3</f>
        <v>1</v>
      </c>
      <c r="H2" s="3" t="str">
        <f>IF(G2=1,_xlfn.CONCAT(D2,"+",E2,"j"),0)</f>
        <v>0.01938+0.05917j</v>
      </c>
      <c r="I2" s="3" t="str">
        <f>IF(G2=1,_xlfn.CONCAT(F2*2,"j"),0)</f>
        <v>0.0528j</v>
      </c>
      <c r="J2" s="3" t="str">
        <f>IF(G2=1,"-",G2)</f>
        <v>-</v>
      </c>
      <c r="K2" s="3" t="str">
        <f>IF(ISNUMBER(J2), AVERAGE($J$2:$J$18), "-")</f>
        <v>-</v>
      </c>
      <c r="L2" s="3" t="str">
        <f t="shared" ref="L2:L17" si="0">IF(G2=1,"-",_xlfn.CONCAT(D2,"+",E2,"j"))</f>
        <v>-</v>
      </c>
    </row>
    <row r="3" spans="1:14" x14ac:dyDescent="0.25">
      <c r="A3" s="3">
        <v>2</v>
      </c>
      <c r="B3" s="3">
        <f>'raw lines'!A4</f>
        <v>1</v>
      </c>
      <c r="C3" s="3">
        <f>'raw lines'!B4</f>
        <v>5</v>
      </c>
      <c r="D3" s="17">
        <f>'raw lines'!C4</f>
        <v>5.4030000000000002E-2</v>
      </c>
      <c r="E3" s="17">
        <f>'raw lines'!D4</f>
        <v>0.22303999999999999</v>
      </c>
      <c r="F3" s="17">
        <f>'raw lines'!E4</f>
        <v>2.46E-2</v>
      </c>
      <c r="G3" s="17">
        <f>'raw lines'!F4</f>
        <v>1</v>
      </c>
      <c r="H3" s="3" t="str">
        <f t="shared" ref="H3:H18" si="1">IF(G3=1,_xlfn.CONCAT(D3,"+",E3,"j"),0)</f>
        <v>0.05403+0.22304j</v>
      </c>
      <c r="I3" s="3" t="str">
        <f t="shared" ref="I3:I21" si="2">IF(G3=1,_xlfn.CONCAT(F3*2,"j"),0)</f>
        <v>0.0492j</v>
      </c>
      <c r="J3" s="3" t="str">
        <f t="shared" ref="J3:J18" si="3">IF(G3=1,"-",G3)</f>
        <v>-</v>
      </c>
      <c r="K3" s="3" t="str">
        <f t="shared" ref="K3:K21" si="4">IF(ISNUMBER(J3), AVERAGE($J$2:$J$18), "-")</f>
        <v>-</v>
      </c>
      <c r="L3" s="3" t="str">
        <f t="shared" si="0"/>
        <v>-</v>
      </c>
    </row>
    <row r="4" spans="1:14" x14ac:dyDescent="0.25">
      <c r="A4" s="3">
        <v>3</v>
      </c>
      <c r="B4" s="3">
        <f>'raw lines'!A5</f>
        <v>2</v>
      </c>
      <c r="C4" s="3">
        <f>'raw lines'!B5</f>
        <v>3</v>
      </c>
      <c r="D4" s="17">
        <f>'raw lines'!C5</f>
        <v>4.6989999999999997E-2</v>
      </c>
      <c r="E4" s="17">
        <f>'raw lines'!D5</f>
        <v>0.19797000000000001</v>
      </c>
      <c r="F4" s="17">
        <f>'raw lines'!E5</f>
        <v>2.1899999999999999E-2</v>
      </c>
      <c r="G4" s="17">
        <f>'raw lines'!F5</f>
        <v>1</v>
      </c>
      <c r="H4" s="3" t="str">
        <f t="shared" si="1"/>
        <v>0.04699+0.19797j</v>
      </c>
      <c r="I4" s="3" t="str">
        <f t="shared" si="2"/>
        <v>0.0438j</v>
      </c>
      <c r="J4" s="3" t="str">
        <f t="shared" si="3"/>
        <v>-</v>
      </c>
      <c r="K4" s="3" t="str">
        <f t="shared" si="4"/>
        <v>-</v>
      </c>
      <c r="L4" s="3" t="str">
        <f t="shared" si="0"/>
        <v>-</v>
      </c>
    </row>
    <row r="5" spans="1:14" x14ac:dyDescent="0.25">
      <c r="A5" s="3">
        <f>A4+1</f>
        <v>4</v>
      </c>
      <c r="B5" s="3">
        <f>'raw lines'!A6</f>
        <v>2</v>
      </c>
      <c r="C5" s="3">
        <f>'raw lines'!B6</f>
        <v>4</v>
      </c>
      <c r="D5" s="17">
        <f>'raw lines'!C6</f>
        <v>5.8110000000000002E-2</v>
      </c>
      <c r="E5" s="17">
        <f>'raw lines'!D6</f>
        <v>0.17632</v>
      </c>
      <c r="F5" s="17">
        <f>'raw lines'!E6</f>
        <v>1.7000000000000001E-2</v>
      </c>
      <c r="G5" s="17">
        <f>'raw lines'!F6</f>
        <v>1</v>
      </c>
      <c r="H5" s="3" t="str">
        <f t="shared" si="1"/>
        <v>0.05811+0.17632j</v>
      </c>
      <c r="I5" s="3" t="str">
        <f t="shared" si="2"/>
        <v>0.034j</v>
      </c>
      <c r="J5" s="3" t="str">
        <f t="shared" si="3"/>
        <v>-</v>
      </c>
      <c r="K5" s="3" t="str">
        <f t="shared" si="4"/>
        <v>-</v>
      </c>
      <c r="L5" s="3" t="str">
        <f t="shared" si="0"/>
        <v>-</v>
      </c>
    </row>
    <row r="6" spans="1:14" x14ac:dyDescent="0.25">
      <c r="A6" s="3">
        <f t="shared" ref="A6:A21" si="5">A5+1</f>
        <v>5</v>
      </c>
      <c r="B6" s="3">
        <f>'raw lines'!A7</f>
        <v>2</v>
      </c>
      <c r="C6" s="3">
        <f>'raw lines'!B7</f>
        <v>5</v>
      </c>
      <c r="D6" s="17">
        <f>'raw lines'!C7</f>
        <v>5.6950000000000001E-2</v>
      </c>
      <c r="E6" s="17">
        <f>'raw lines'!D7</f>
        <v>0.17388000000000001</v>
      </c>
      <c r="F6" s="17">
        <f>'raw lines'!E7</f>
        <v>1.7299999999999999E-2</v>
      </c>
      <c r="G6" s="17">
        <f>'raw lines'!F7</f>
        <v>1</v>
      </c>
      <c r="H6" s="3" t="str">
        <f t="shared" si="1"/>
        <v>0.05695+0.17388j</v>
      </c>
      <c r="I6" s="3" t="str">
        <f t="shared" si="2"/>
        <v>0.0346j</v>
      </c>
      <c r="J6" s="3" t="str">
        <f t="shared" si="3"/>
        <v>-</v>
      </c>
      <c r="K6" s="3" t="str">
        <f t="shared" si="4"/>
        <v>-</v>
      </c>
      <c r="L6" s="3" t="str">
        <f t="shared" si="0"/>
        <v>-</v>
      </c>
      <c r="N6" s="4" t="s">
        <v>6</v>
      </c>
    </row>
    <row r="7" spans="1:14" x14ac:dyDescent="0.25">
      <c r="A7" s="3">
        <f t="shared" si="5"/>
        <v>6</v>
      </c>
      <c r="B7" s="3">
        <f>'raw lines'!A8</f>
        <v>3</v>
      </c>
      <c r="C7" s="3">
        <f>'raw lines'!B8</f>
        <v>4</v>
      </c>
      <c r="D7" s="17">
        <f>'raw lines'!C8</f>
        <v>6.701E-2</v>
      </c>
      <c r="E7" s="17">
        <f>'raw lines'!D8</f>
        <v>0.17102999999999999</v>
      </c>
      <c r="F7" s="17">
        <f>'raw lines'!E8</f>
        <v>6.4000000000000003E-3</v>
      </c>
      <c r="G7" s="17">
        <f>'raw lines'!F8</f>
        <v>1</v>
      </c>
      <c r="H7" s="3" t="str">
        <f t="shared" si="1"/>
        <v>0.06701+0.17103j</v>
      </c>
      <c r="I7" s="3" t="str">
        <f t="shared" si="2"/>
        <v>0.0128j</v>
      </c>
      <c r="J7" s="3" t="str">
        <f t="shared" si="3"/>
        <v>-</v>
      </c>
      <c r="K7" s="3" t="str">
        <f t="shared" si="4"/>
        <v>-</v>
      </c>
      <c r="L7" s="3" t="str">
        <f t="shared" si="0"/>
        <v>-</v>
      </c>
      <c r="N7" s="5" t="s">
        <v>14</v>
      </c>
    </row>
    <row r="8" spans="1:14" x14ac:dyDescent="0.25">
      <c r="A8" s="3">
        <f t="shared" si="5"/>
        <v>7</v>
      </c>
      <c r="B8" s="3">
        <f>'raw lines'!A9</f>
        <v>4</v>
      </c>
      <c r="C8" s="3">
        <f>'raw lines'!B9</f>
        <v>5</v>
      </c>
      <c r="D8" s="17">
        <f>'raw lines'!C9</f>
        <v>1.3350000000000001E-2</v>
      </c>
      <c r="E8" s="17">
        <f>'raw lines'!D9</f>
        <v>4.2110000000000002E-2</v>
      </c>
      <c r="F8" s="17">
        <f>'raw lines'!E9</f>
        <v>0</v>
      </c>
      <c r="G8" s="17">
        <f>'raw lines'!F9</f>
        <v>1</v>
      </c>
      <c r="H8" s="3" t="str">
        <f t="shared" si="1"/>
        <v>0.01335+0.04211j</v>
      </c>
      <c r="I8" s="3" t="str">
        <f t="shared" si="2"/>
        <v>0j</v>
      </c>
      <c r="J8" s="3" t="str">
        <f t="shared" si="3"/>
        <v>-</v>
      </c>
      <c r="K8" s="3" t="str">
        <f t="shared" si="4"/>
        <v>-</v>
      </c>
      <c r="L8" s="3" t="str">
        <f t="shared" si="0"/>
        <v>-</v>
      </c>
      <c r="N8" s="5" t="s">
        <v>15</v>
      </c>
    </row>
    <row r="9" spans="1:14" x14ac:dyDescent="0.25">
      <c r="A9" s="3">
        <f t="shared" si="5"/>
        <v>8</v>
      </c>
      <c r="B9" s="3">
        <f>'raw lines'!A10</f>
        <v>4</v>
      </c>
      <c r="C9" s="3">
        <f>'raw lines'!B10</f>
        <v>7</v>
      </c>
      <c r="D9" s="17">
        <f>'raw lines'!C10</f>
        <v>0</v>
      </c>
      <c r="E9" s="17">
        <f>'raw lines'!D10</f>
        <v>0.20912</v>
      </c>
      <c r="F9" s="17">
        <f>'raw lines'!E10</f>
        <v>0</v>
      </c>
      <c r="G9" s="17">
        <f>'raw lines'!F10</f>
        <v>0.97799999999999998</v>
      </c>
      <c r="H9" s="3">
        <f t="shared" si="1"/>
        <v>0</v>
      </c>
      <c r="I9" s="3">
        <f t="shared" si="2"/>
        <v>0</v>
      </c>
      <c r="J9" s="3">
        <f t="shared" si="3"/>
        <v>0.97799999999999998</v>
      </c>
      <c r="K9" s="3">
        <f t="shared" si="4"/>
        <v>0.95966666666666667</v>
      </c>
      <c r="L9" s="3" t="str">
        <f t="shared" si="0"/>
        <v>0+0.20912j</v>
      </c>
      <c r="N9" s="5" t="s">
        <v>16</v>
      </c>
    </row>
    <row r="10" spans="1:14" x14ac:dyDescent="0.25">
      <c r="A10" s="3">
        <f t="shared" si="5"/>
        <v>9</v>
      </c>
      <c r="B10" s="3">
        <f>'raw lines'!A11</f>
        <v>4</v>
      </c>
      <c r="C10" s="3">
        <f>'raw lines'!B11</f>
        <v>9</v>
      </c>
      <c r="D10" s="17">
        <f>'raw lines'!C11</f>
        <v>0</v>
      </c>
      <c r="E10" s="17">
        <f>'raw lines'!D11</f>
        <v>0.55618000000000001</v>
      </c>
      <c r="F10" s="17">
        <f>'raw lines'!E11</f>
        <v>0</v>
      </c>
      <c r="G10" s="17">
        <f>'raw lines'!F11</f>
        <v>0.96899999999999997</v>
      </c>
      <c r="H10" s="3">
        <f t="shared" si="1"/>
        <v>0</v>
      </c>
      <c r="I10" s="3">
        <f t="shared" si="2"/>
        <v>0</v>
      </c>
      <c r="J10" s="3">
        <f t="shared" si="3"/>
        <v>0.96899999999999997</v>
      </c>
      <c r="K10" s="3">
        <f t="shared" si="4"/>
        <v>0.95966666666666667</v>
      </c>
      <c r="L10" s="3" t="str">
        <f t="shared" si="0"/>
        <v>0+0.55618j</v>
      </c>
      <c r="N10" s="5" t="s">
        <v>13</v>
      </c>
    </row>
    <row r="11" spans="1:14" x14ac:dyDescent="0.25">
      <c r="A11" s="3">
        <f t="shared" si="5"/>
        <v>10</v>
      </c>
      <c r="B11" s="3">
        <f>'raw lines'!A12</f>
        <v>5</v>
      </c>
      <c r="C11" s="3">
        <f>'raw lines'!B12</f>
        <v>6</v>
      </c>
      <c r="D11" s="17">
        <f>'raw lines'!C12</f>
        <v>0</v>
      </c>
      <c r="E11" s="17">
        <f>'raw lines'!D12</f>
        <v>0.25202000000000002</v>
      </c>
      <c r="F11" s="17">
        <f>'raw lines'!E12</f>
        <v>0</v>
      </c>
      <c r="G11" s="17">
        <f>'raw lines'!F12</f>
        <v>0.93200000000000005</v>
      </c>
      <c r="H11" s="3">
        <f t="shared" si="1"/>
        <v>0</v>
      </c>
      <c r="I11" s="3">
        <f t="shared" si="2"/>
        <v>0</v>
      </c>
      <c r="J11" s="3">
        <f t="shared" si="3"/>
        <v>0.93200000000000005</v>
      </c>
      <c r="K11" s="3">
        <f t="shared" si="4"/>
        <v>0.95966666666666667</v>
      </c>
      <c r="L11" s="3" t="str">
        <f t="shared" si="0"/>
        <v>0+0.25202j</v>
      </c>
      <c r="N11" s="7" t="s">
        <v>19</v>
      </c>
    </row>
    <row r="12" spans="1:14" x14ac:dyDescent="0.25">
      <c r="A12" s="3">
        <f t="shared" si="5"/>
        <v>11</v>
      </c>
      <c r="B12" s="3">
        <f>'raw lines'!A13</f>
        <v>6</v>
      </c>
      <c r="C12" s="3">
        <f>'raw lines'!B13</f>
        <v>11</v>
      </c>
      <c r="D12" s="17">
        <f>'raw lines'!C13</f>
        <v>9.4979999999999995E-2</v>
      </c>
      <c r="E12" s="17">
        <f>'raw lines'!D13</f>
        <v>0.19889999999999999</v>
      </c>
      <c r="F12" s="17">
        <f>'raw lines'!E13</f>
        <v>0</v>
      </c>
      <c r="G12" s="17">
        <f>'raw lines'!F13</f>
        <v>1</v>
      </c>
      <c r="H12" s="3" t="str">
        <f t="shared" si="1"/>
        <v>0.09498+0.1989j</v>
      </c>
      <c r="I12" s="3" t="str">
        <f t="shared" si="2"/>
        <v>0j</v>
      </c>
      <c r="J12" s="3" t="str">
        <f t="shared" si="3"/>
        <v>-</v>
      </c>
      <c r="K12" s="3" t="str">
        <f t="shared" si="4"/>
        <v>-</v>
      </c>
      <c r="L12" s="3" t="str">
        <f t="shared" si="0"/>
        <v>-</v>
      </c>
      <c r="N12" s="8" t="s">
        <v>18</v>
      </c>
    </row>
    <row r="13" spans="1:14" x14ac:dyDescent="0.25">
      <c r="A13" s="3">
        <f t="shared" si="5"/>
        <v>12</v>
      </c>
      <c r="B13" s="3">
        <f>'raw lines'!A14</f>
        <v>6</v>
      </c>
      <c r="C13" s="3">
        <f>'raw lines'!B14</f>
        <v>12</v>
      </c>
      <c r="D13" s="17">
        <f>'raw lines'!C14</f>
        <v>0.12291000000000001</v>
      </c>
      <c r="E13" s="17">
        <f>'raw lines'!D14</f>
        <v>0.25580999999999998</v>
      </c>
      <c r="F13" s="17">
        <f>'raw lines'!E14</f>
        <v>0</v>
      </c>
      <c r="G13" s="17">
        <f>'raw lines'!F14</f>
        <v>1</v>
      </c>
      <c r="H13" s="3" t="str">
        <f t="shared" si="1"/>
        <v>0.12291+0.25581j</v>
      </c>
      <c r="I13" s="3" t="str">
        <f t="shared" si="2"/>
        <v>0j</v>
      </c>
      <c r="J13" s="3" t="str">
        <f t="shared" si="3"/>
        <v>-</v>
      </c>
      <c r="K13" s="3" t="str">
        <f t="shared" si="4"/>
        <v>-</v>
      </c>
      <c r="L13" s="3" t="str">
        <f t="shared" si="0"/>
        <v>-</v>
      </c>
      <c r="N13" s="8" t="s">
        <v>17</v>
      </c>
    </row>
    <row r="14" spans="1:14" x14ac:dyDescent="0.25">
      <c r="A14" s="3">
        <f t="shared" si="5"/>
        <v>13</v>
      </c>
      <c r="B14" s="3">
        <f>'raw lines'!A15</f>
        <v>6</v>
      </c>
      <c r="C14" s="3">
        <f>'raw lines'!B15</f>
        <v>13</v>
      </c>
      <c r="D14" s="17">
        <f>'raw lines'!C15</f>
        <v>6.615E-2</v>
      </c>
      <c r="E14" s="17">
        <f>'raw lines'!D15</f>
        <v>0.13027</v>
      </c>
      <c r="F14" s="17">
        <f>'raw lines'!E15</f>
        <v>0</v>
      </c>
      <c r="G14" s="17">
        <f>'raw lines'!F15</f>
        <v>1</v>
      </c>
      <c r="H14" s="3" t="str">
        <f t="shared" si="1"/>
        <v>0.06615+0.13027j</v>
      </c>
      <c r="I14" s="3" t="str">
        <f t="shared" si="2"/>
        <v>0j</v>
      </c>
      <c r="J14" s="3" t="str">
        <f t="shared" si="3"/>
        <v>-</v>
      </c>
      <c r="K14" s="3" t="str">
        <f t="shared" si="4"/>
        <v>-</v>
      </c>
      <c r="L14" s="3" t="str">
        <f t="shared" si="0"/>
        <v>-</v>
      </c>
      <c r="N14" s="5" t="s">
        <v>21</v>
      </c>
    </row>
    <row r="15" spans="1:14" x14ac:dyDescent="0.25">
      <c r="A15" s="3">
        <f t="shared" si="5"/>
        <v>14</v>
      </c>
      <c r="B15" s="3">
        <f>'raw lines'!A16</f>
        <v>7</v>
      </c>
      <c r="C15" s="3">
        <f>'raw lines'!B16</f>
        <v>8</v>
      </c>
      <c r="D15" s="17">
        <f>'raw lines'!C16</f>
        <v>0</v>
      </c>
      <c r="E15" s="17">
        <f>'raw lines'!D16</f>
        <v>0.17615</v>
      </c>
      <c r="F15" s="17">
        <f>'raw lines'!E16</f>
        <v>0</v>
      </c>
      <c r="G15" s="17">
        <f>'raw lines'!F16</f>
        <v>1</v>
      </c>
      <c r="H15" s="3" t="str">
        <f t="shared" si="1"/>
        <v>0+0.17615j</v>
      </c>
      <c r="I15" s="3" t="str">
        <f t="shared" si="2"/>
        <v>0j</v>
      </c>
      <c r="J15" s="3" t="str">
        <f t="shared" si="3"/>
        <v>-</v>
      </c>
      <c r="K15" s="3" t="str">
        <f t="shared" si="4"/>
        <v>-</v>
      </c>
      <c r="L15" s="3" t="str">
        <f t="shared" si="0"/>
        <v>-</v>
      </c>
      <c r="N15" s="5" t="s">
        <v>22</v>
      </c>
    </row>
    <row r="16" spans="1:14" x14ac:dyDescent="0.25">
      <c r="A16" s="3">
        <f t="shared" si="5"/>
        <v>15</v>
      </c>
      <c r="B16" s="3">
        <f>'raw lines'!A17</f>
        <v>7</v>
      </c>
      <c r="C16" s="3">
        <f>'raw lines'!B17</f>
        <v>9</v>
      </c>
      <c r="D16" s="17">
        <f>'raw lines'!C17</f>
        <v>0</v>
      </c>
      <c r="E16" s="17">
        <f>'raw lines'!D17</f>
        <v>0.11001</v>
      </c>
      <c r="F16" s="17">
        <f>'raw lines'!E17</f>
        <v>0</v>
      </c>
      <c r="G16" s="17">
        <f>'raw lines'!F17</f>
        <v>1</v>
      </c>
      <c r="H16" s="3" t="str">
        <f t="shared" si="1"/>
        <v>0+0.11001j</v>
      </c>
      <c r="I16" s="3" t="str">
        <f t="shared" si="2"/>
        <v>0j</v>
      </c>
      <c r="J16" s="3" t="str">
        <f t="shared" si="3"/>
        <v>-</v>
      </c>
      <c r="K16" s="3" t="str">
        <f t="shared" si="4"/>
        <v>-</v>
      </c>
      <c r="L16" s="3" t="str">
        <f t="shared" si="0"/>
        <v>-</v>
      </c>
      <c r="N16" s="5"/>
    </row>
    <row r="17" spans="1:14" x14ac:dyDescent="0.25">
      <c r="A17" s="3">
        <f t="shared" si="5"/>
        <v>16</v>
      </c>
      <c r="B17" s="3">
        <f>'raw lines'!A18</f>
        <v>9</v>
      </c>
      <c r="C17" s="3">
        <f>'raw lines'!B18</f>
        <v>10</v>
      </c>
      <c r="D17" s="17">
        <f>'raw lines'!C18</f>
        <v>3.1809999999999998E-2</v>
      </c>
      <c r="E17" s="17">
        <f>'raw lines'!D18</f>
        <v>8.4500000000000006E-2</v>
      </c>
      <c r="F17" s="17">
        <f>'raw lines'!E18</f>
        <v>0</v>
      </c>
      <c r="G17" s="17">
        <f>'raw lines'!F18</f>
        <v>1</v>
      </c>
      <c r="H17" s="3" t="str">
        <f t="shared" si="1"/>
        <v>0.03181+0.0845j</v>
      </c>
      <c r="I17" s="3" t="str">
        <f t="shared" si="2"/>
        <v>0j</v>
      </c>
      <c r="J17" s="3" t="str">
        <f t="shared" si="3"/>
        <v>-</v>
      </c>
      <c r="K17" s="3" t="str">
        <f t="shared" si="4"/>
        <v>-</v>
      </c>
      <c r="L17" s="3" t="str">
        <f t="shared" si="0"/>
        <v>-</v>
      </c>
      <c r="N17" s="5"/>
    </row>
    <row r="18" spans="1:14" x14ac:dyDescent="0.25">
      <c r="A18" s="3">
        <f t="shared" si="5"/>
        <v>17</v>
      </c>
      <c r="B18" s="3">
        <f>'raw lines'!A19</f>
        <v>9</v>
      </c>
      <c r="C18" s="3">
        <f>'raw lines'!B19</f>
        <v>14</v>
      </c>
      <c r="D18" s="28">
        <f>'raw lines'!C19</f>
        <v>0.12711</v>
      </c>
      <c r="E18" s="17">
        <f>'raw lines'!D19</f>
        <v>0.27038000000000001</v>
      </c>
      <c r="F18" s="17">
        <f>'raw lines'!E19</f>
        <v>0</v>
      </c>
      <c r="G18" s="29">
        <f>'raw lines'!F19</f>
        <v>1</v>
      </c>
      <c r="H18" s="3" t="str">
        <f t="shared" si="1"/>
        <v>0.12711+0.27038j</v>
      </c>
      <c r="I18" s="3" t="str">
        <f t="shared" si="2"/>
        <v>0j</v>
      </c>
      <c r="J18" s="3" t="str">
        <f t="shared" si="3"/>
        <v>-</v>
      </c>
      <c r="K18" s="3" t="str">
        <f t="shared" si="4"/>
        <v>-</v>
      </c>
      <c r="L18" s="3" t="s">
        <v>5</v>
      </c>
      <c r="N18" s="5"/>
    </row>
    <row r="19" spans="1:14" x14ac:dyDescent="0.25">
      <c r="A19" s="3">
        <f t="shared" si="5"/>
        <v>18</v>
      </c>
      <c r="B19" s="3">
        <f>'raw lines'!A20</f>
        <v>10</v>
      </c>
      <c r="C19" s="3">
        <f>'raw lines'!B20</f>
        <v>11</v>
      </c>
      <c r="D19" s="28">
        <f>'raw lines'!C20</f>
        <v>8.2049999999999998E-2</v>
      </c>
      <c r="E19" s="17">
        <f>'raw lines'!D20</f>
        <v>0.19206999999999999</v>
      </c>
      <c r="F19" s="17">
        <f>'raw lines'!E20</f>
        <v>0</v>
      </c>
      <c r="G19" s="29">
        <f>'raw lines'!F20</f>
        <v>1</v>
      </c>
      <c r="H19" s="3" t="str">
        <f t="shared" ref="H19:H21" si="6">IF(G19=1,_xlfn.CONCAT(D19,"+",E19,"j"),0)</f>
        <v>0.08205+0.19207j</v>
      </c>
      <c r="I19" s="3" t="str">
        <f t="shared" si="2"/>
        <v>0j</v>
      </c>
      <c r="J19" s="3" t="str">
        <f t="shared" ref="J19:J21" si="7">IF(G19=1,"-",G19)</f>
        <v>-</v>
      </c>
      <c r="K19" s="3" t="str">
        <f t="shared" si="4"/>
        <v>-</v>
      </c>
      <c r="L19" s="3" t="s">
        <v>5</v>
      </c>
      <c r="N19" s="5"/>
    </row>
    <row r="20" spans="1:14" x14ac:dyDescent="0.25">
      <c r="A20" s="3">
        <f t="shared" si="5"/>
        <v>19</v>
      </c>
      <c r="B20" s="3">
        <f>'raw lines'!A21</f>
        <v>12</v>
      </c>
      <c r="C20" s="3">
        <f>'raw lines'!B21</f>
        <v>13</v>
      </c>
      <c r="D20" s="28">
        <f>'raw lines'!C21</f>
        <v>0.22092000000000001</v>
      </c>
      <c r="E20" s="17">
        <f>'raw lines'!D21</f>
        <v>0.19988</v>
      </c>
      <c r="F20" s="17">
        <f>'raw lines'!E21</f>
        <v>0</v>
      </c>
      <c r="G20" s="29">
        <f>'raw lines'!F21</f>
        <v>1</v>
      </c>
      <c r="H20" s="3" t="str">
        <f t="shared" si="6"/>
        <v>0.22092+0.19988j</v>
      </c>
      <c r="I20" s="3" t="str">
        <f t="shared" si="2"/>
        <v>0j</v>
      </c>
      <c r="J20" s="3" t="str">
        <f t="shared" si="7"/>
        <v>-</v>
      </c>
      <c r="K20" s="3" t="str">
        <f t="shared" si="4"/>
        <v>-</v>
      </c>
      <c r="L20" s="3" t="s">
        <v>5</v>
      </c>
      <c r="N20" s="5"/>
    </row>
    <row r="21" spans="1:14" x14ac:dyDescent="0.25">
      <c r="A21" s="6">
        <f t="shared" si="5"/>
        <v>20</v>
      </c>
      <c r="B21" s="6">
        <f>'raw lines'!A22</f>
        <v>13</v>
      </c>
      <c r="C21" s="6">
        <f>'raw lines'!B22</f>
        <v>14</v>
      </c>
      <c r="D21" s="18">
        <f>'raw lines'!C22</f>
        <v>0.17093</v>
      </c>
      <c r="E21" s="19">
        <f>'raw lines'!D22</f>
        <v>0.34802</v>
      </c>
      <c r="F21" s="19">
        <f>'raw lines'!E22</f>
        <v>0</v>
      </c>
      <c r="G21" s="20">
        <f>'raw lines'!F22</f>
        <v>1</v>
      </c>
      <c r="H21" s="6" t="str">
        <f t="shared" si="6"/>
        <v>0.17093+0.34802j</v>
      </c>
      <c r="I21" s="3" t="str">
        <f t="shared" si="2"/>
        <v>0j</v>
      </c>
      <c r="J21" s="6" t="str">
        <f t="shared" si="7"/>
        <v>-</v>
      </c>
      <c r="K21" s="6" t="str">
        <f t="shared" si="4"/>
        <v>-</v>
      </c>
      <c r="L21" s="6" t="s">
        <v>5</v>
      </c>
      <c r="N2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raw buses</vt:lpstr>
      <vt:lpstr>raw lines</vt:lpstr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 San Roman</dc:creator>
  <cp:lastModifiedBy>JAVIER GARCIA SAN ROMAN</cp:lastModifiedBy>
  <dcterms:created xsi:type="dcterms:W3CDTF">2015-06-05T18:17:20Z</dcterms:created>
  <dcterms:modified xsi:type="dcterms:W3CDTF">2025-11-22T00:34:45Z</dcterms:modified>
</cp:coreProperties>
</file>