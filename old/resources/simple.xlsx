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Proyect 3 (oct 2025)\"/>
    </mc:Choice>
  </mc:AlternateContent>
  <xr:revisionPtr revIDLastSave="0" documentId="13_ncr:1_{58148950-9C20-44DA-81E4-5E52CA40E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D10" i="2"/>
  <c r="F10" i="2"/>
  <c r="G10" i="2"/>
  <c r="H10" i="2"/>
  <c r="F11" i="2"/>
  <c r="G11" i="2"/>
  <c r="H11" i="2"/>
  <c r="G9" i="2"/>
  <c r="H9" i="2"/>
  <c r="F9" i="2"/>
  <c r="B10" i="2"/>
  <c r="C9" i="2"/>
  <c r="D11" i="2"/>
  <c r="C10" i="2"/>
  <c r="B9" i="2"/>
</calcChain>
</file>

<file path=xl/sharedStrings.xml><?xml version="1.0" encoding="utf-8"?>
<sst xmlns="http://schemas.openxmlformats.org/spreadsheetml/2006/main" count="50" uniqueCount="36">
  <si>
    <t>Type</t>
  </si>
  <si>
    <t>P</t>
  </si>
  <si>
    <t>θ</t>
  </si>
  <si>
    <t>ID</t>
  </si>
  <si>
    <t>Q</t>
  </si>
  <si>
    <t>PQ</t>
  </si>
  <si>
    <t>Slack</t>
  </si>
  <si>
    <t>-</t>
  </si>
  <si>
    <t>NOTAS</t>
  </si>
  <si>
    <t>ID bus 1</t>
  </si>
  <si>
    <t>ID bus 2</t>
  </si>
  <si>
    <t>Z</t>
  </si>
  <si>
    <t>Y</t>
  </si>
  <si>
    <t>Trafo-rt</t>
  </si>
  <si>
    <t>Trafo-Zcc</t>
  </si>
  <si>
    <t>Todos los angulos se considerarán en radianes</t>
  </si>
  <si>
    <t>Especificar los valores en unidades del sistema internacional</t>
  </si>
  <si>
    <t>El orden de las columnas no importa, solo las etiquetas de su cabecera (ID, Z, Y, etc)</t>
  </si>
  <si>
    <t>Las variables Z, Y, Trafo-rt, Trafo-Zcc son, en general, numeros complejos. Pueden especificarse en forma binomica (ej: 2+5j) o polar (ej: 5∠3.14).</t>
  </si>
  <si>
    <t xml:space="preserve">Independientemente del conexionado real del transformador, debe especificarse su equivalente estrella-estrella, tanto en la Zcc como en la rt. </t>
  </si>
  <si>
    <t>Por tanto si rt se especifica como un complejo, su angulo debe ser el "retraso" que sufre la tensión (linea-neutro) de cada fase al pasar por el trafo desde el lado del bus 1 al lado del bus 2</t>
  </si>
  <si>
    <t>La relación de transformación compleja se especifica como UN1/UN2, estos son los fasores tensiones nominales (linea-neutro) del lado del bus 1 y del bus 2. Los buses 1 y 2 son aquellos que poseen la ID1 y la ID2 especificadas en las columnas, respectivamente</t>
  </si>
  <si>
    <t>I27I6G27:I27H27:I27I6G27:I27G27:I27I6G27:I27F27:I27I6G27:I27E27:I27I6G27:I27E27:I28</t>
  </si>
  <si>
    <t>V</t>
  </si>
  <si>
    <t>PV</t>
  </si>
  <si>
    <t>No pueden especificarse trafos y a la vez lineas PI. Es decir, si se quiere una linea "compuesta" donde hay trafos y tambien modelo PI de linea, deben usarse nudos intermedios tipo PQ con P=Q=0.</t>
  </si>
  <si>
    <t>El valor Zcc de los trafos será considerado como el valor que se mide desde el primario, siendo el primario el lado del bus 1 que se especifique.</t>
  </si>
  <si>
    <t>bus 1</t>
  </si>
  <si>
    <t>bus 2</t>
  </si>
  <si>
    <t>bus 3</t>
  </si>
  <si>
    <t xml:space="preserve"> </t>
  </si>
  <si>
    <t>ADMITANCE MATRIX</t>
  </si>
  <si>
    <t>ADMITANCE MATRIX PU</t>
  </si>
  <si>
    <t>Y_base</t>
  </si>
  <si>
    <r>
      <t>θ</t>
    </r>
    <r>
      <rPr>
        <b/>
        <sz val="8"/>
        <color theme="1"/>
        <rFont val="Yu Gothic"/>
        <family val="2"/>
      </rPr>
      <t>0</t>
    </r>
  </si>
  <si>
    <r>
      <t>V</t>
    </r>
    <r>
      <rPr>
        <b/>
        <sz val="8"/>
        <color theme="1"/>
        <rFont val="Yu Gothic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</si>
</sst>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Yu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3" borderId="4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3" fillId="0" borderId="0" xfId="0" applyFont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15</xdr:row>
      <xdr:rowOff>85725</xdr:rowOff>
    </xdr:from>
    <xdr:to>
      <xdr:col>10</xdr:col>
      <xdr:colOff>285750</xdr:colOff>
      <xdr:row>24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F364B05-7EF5-CAB0-E4E9-0544677FCECA}"/>
            </a:ext>
          </a:extLst>
        </xdr:cNvPr>
        <xdr:cNvSpPr txBox="1"/>
      </xdr:nvSpPr>
      <xdr:spPr>
        <a:xfrm>
          <a:off x="571500" y="3009900"/>
          <a:ext cx="6248400" cy="169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NOTAS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Especificar los valores en unidades del sistema internacional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 considera P positiva aquella que es generada, y negativa aquella que se consume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 considera Q positiva aquella que es generada (condensador), y negativa aquella que se consume (bobina)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orden de las columnas no importa, solo las etiquetas de su cabecera (Type, P, Q, etc)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Los angulos se considerarán en radianes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V es la tension fase-neutro, no la de linea.</a:t>
          </a:r>
          <a:r>
            <a:rPr lang="es-ES">
              <a:effectLst/>
            </a:rPr>
            <a:t> </a:t>
          </a:r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295550</xdr:colOff>
      <xdr:row>19</xdr:row>
      <xdr:rowOff>56460</xdr:rowOff>
    </xdr:from>
    <xdr:to>
      <xdr:col>6</xdr:col>
      <xdr:colOff>725713</xdr:colOff>
      <xdr:row>33</xdr:row>
      <xdr:rowOff>155659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57617E-0F52-57AB-DF76-6F73822F9A20}"/>
            </a:ext>
          </a:extLst>
        </xdr:cNvPr>
        <xdr:cNvGrpSpPr/>
      </xdr:nvGrpSpPr>
      <xdr:grpSpPr>
        <a:xfrm>
          <a:off x="1057550" y="3742635"/>
          <a:ext cx="4421138" cy="2766199"/>
          <a:chOff x="7571945" y="3467621"/>
          <a:chExt cx="4545322" cy="2567505"/>
        </a:xfrm>
      </xdr:grpSpPr>
      <xdr:pic>
        <xdr:nvPicPr>
          <xdr:cNvPr id="2" name="Imagen 1" descr="La impedancia y la admitancia corresponden a las de la imagen de abajo:">
            <a:extLst>
              <a:ext uri="{FF2B5EF4-FFF2-40B4-BE49-F238E27FC236}">
                <a16:creationId xmlns:a16="http://schemas.microsoft.com/office/drawing/2014/main" id="{3FAAE2E6-5A70-7B26-BB91-C611562289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61E330E-C0CC-289C-F63A-31AD40129BD1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selection activeCell="I15" sqref="I15"/>
    </sheetView>
  </sheetViews>
  <sheetFormatPr baseColWidth="10" defaultColWidth="8.85546875" defaultRowHeight="15" x14ac:dyDescent="0.25"/>
  <cols>
    <col min="1" max="1" width="12" customWidth="1"/>
    <col min="2" max="2" width="14.28515625" customWidth="1"/>
    <col min="9" max="9" width="11.28515625" customWidth="1"/>
    <col min="10" max="10" width="7.28515625" customWidth="1"/>
    <col min="11" max="11" width="8.85546875" customWidth="1"/>
    <col min="16" max="16" width="8.85546875" customWidth="1"/>
    <col min="18" max="18" width="6.140625" customWidth="1"/>
  </cols>
  <sheetData>
    <row r="1" spans="1:9" ht="20.2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23</v>
      </c>
      <c r="F1" s="1" t="s">
        <v>2</v>
      </c>
      <c r="H1" s="1" t="s">
        <v>35</v>
      </c>
      <c r="I1" s="1" t="s">
        <v>34</v>
      </c>
    </row>
    <row r="2" spans="1:9" x14ac:dyDescent="0.25">
      <c r="A2" s="2">
        <v>1</v>
      </c>
      <c r="B2" s="2" t="s">
        <v>6</v>
      </c>
      <c r="C2" s="2">
        <v>130.63</v>
      </c>
      <c r="D2" s="2">
        <v>230</v>
      </c>
      <c r="E2" s="2">
        <v>230</v>
      </c>
      <c r="F2" s="2">
        <v>0</v>
      </c>
      <c r="H2" s="2">
        <v>230</v>
      </c>
      <c r="I2" s="2">
        <v>0</v>
      </c>
    </row>
    <row r="3" spans="1:9" ht="15.6" customHeight="1" x14ac:dyDescent="0.25">
      <c r="A3" s="3">
        <v>2</v>
      </c>
      <c r="B3" s="3" t="s">
        <v>24</v>
      </c>
      <c r="C3" s="3">
        <v>220.37</v>
      </c>
      <c r="D3" s="3">
        <v>-314.52</v>
      </c>
      <c r="E3" s="3">
        <v>200</v>
      </c>
      <c r="F3" s="3">
        <v>0.52359877559829804</v>
      </c>
      <c r="H3" s="3">
        <v>200</v>
      </c>
      <c r="I3" s="3">
        <v>0.52359877559829804</v>
      </c>
    </row>
    <row r="4" spans="1:9" x14ac:dyDescent="0.25">
      <c r="A4" s="11">
        <v>3</v>
      </c>
      <c r="B4" s="11" t="s">
        <v>5</v>
      </c>
      <c r="C4" s="11">
        <v>-81.260000000000005</v>
      </c>
      <c r="D4" s="11">
        <v>84.52</v>
      </c>
      <c r="E4" s="11">
        <v>100</v>
      </c>
      <c r="F4" s="11">
        <v>8.7266462599716405E-2</v>
      </c>
      <c r="H4" s="11">
        <v>100</v>
      </c>
      <c r="I4" s="11">
        <v>8.7266462599716405E-2</v>
      </c>
    </row>
    <row r="9" spans="1:9" x14ac:dyDescent="0.25">
      <c r="H9" s="1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J27"/>
  <sheetViews>
    <sheetView zoomScaleNormal="100" workbookViewId="0">
      <selection activeCell="A8" sqref="A8"/>
    </sheetView>
  </sheetViews>
  <sheetFormatPr baseColWidth="10" defaultRowHeight="15" x14ac:dyDescent="0.25"/>
  <cols>
    <col min="2" max="2" width="12.28515625" customWidth="1"/>
    <col min="3" max="3" width="13.42578125" customWidth="1"/>
    <col min="5" max="5" width="10.5703125" customWidth="1"/>
    <col min="6" max="6" width="12.140625" customWidth="1"/>
    <col min="7" max="7" width="17.42578125" customWidth="1"/>
    <col min="8" max="8" width="12.42578125" customWidth="1"/>
    <col min="9" max="9" width="15.7109375" customWidth="1"/>
    <col min="10" max="10" width="212.7109375" customWidth="1"/>
  </cols>
  <sheetData>
    <row r="1" spans="1:10" ht="20.25" x14ac:dyDescent="0.25">
      <c r="A1" s="1" t="s">
        <v>3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J1" s="5" t="s">
        <v>8</v>
      </c>
    </row>
    <row r="2" spans="1:10" x14ac:dyDescent="0.25">
      <c r="A2" s="4">
        <v>1</v>
      </c>
      <c r="B2" s="4">
        <v>2</v>
      </c>
      <c r="C2" s="4">
        <v>1</v>
      </c>
      <c r="D2" s="4">
        <v>100</v>
      </c>
      <c r="E2" s="4">
        <v>0</v>
      </c>
      <c r="F2" s="4" t="s">
        <v>7</v>
      </c>
      <c r="G2" s="4" t="s">
        <v>7</v>
      </c>
      <c r="J2" s="6" t="s">
        <v>16</v>
      </c>
    </row>
    <row r="3" spans="1:10" x14ac:dyDescent="0.25">
      <c r="A3" s="7">
        <v>2</v>
      </c>
      <c r="B3" s="7">
        <v>2</v>
      </c>
      <c r="C3" s="7">
        <v>3</v>
      </c>
      <c r="D3" s="7">
        <v>100</v>
      </c>
      <c r="E3" s="7">
        <v>0</v>
      </c>
      <c r="F3" s="7" t="s">
        <v>7</v>
      </c>
      <c r="G3" s="7" t="s">
        <v>7</v>
      </c>
      <c r="J3" s="6" t="s">
        <v>17</v>
      </c>
    </row>
    <row r="4" spans="1:10" x14ac:dyDescent="0.25">
      <c r="J4" s="6" t="s">
        <v>18</v>
      </c>
    </row>
    <row r="5" spans="1:10" x14ac:dyDescent="0.25">
      <c r="J5" s="6" t="s">
        <v>15</v>
      </c>
    </row>
    <row r="6" spans="1:10" x14ac:dyDescent="0.25">
      <c r="J6" s="8" t="s">
        <v>21</v>
      </c>
    </row>
    <row r="7" spans="1:10" x14ac:dyDescent="0.25">
      <c r="H7" s="10"/>
      <c r="J7" s="9" t="s">
        <v>20</v>
      </c>
    </row>
    <row r="8" spans="1:10" x14ac:dyDescent="0.25">
      <c r="C8" s="13" t="s">
        <v>31</v>
      </c>
      <c r="G8" s="13" t="s">
        <v>32</v>
      </c>
      <c r="J8" s="9" t="s">
        <v>19</v>
      </c>
    </row>
    <row r="9" spans="1:10" x14ac:dyDescent="0.25">
      <c r="A9" s="12" t="s">
        <v>27</v>
      </c>
      <c r="B9" s="14">
        <f>1/D2</f>
        <v>0.01</v>
      </c>
      <c r="C9" s="14">
        <f>-1/D2</f>
        <v>-0.01</v>
      </c>
      <c r="D9" s="14">
        <v>0</v>
      </c>
      <c r="E9" s="12" t="s">
        <v>27</v>
      </c>
      <c r="F9" s="14">
        <f t="shared" ref="F9:H11" si="0">B9/$G$15</f>
        <v>3.134796238244514</v>
      </c>
      <c r="G9" s="14">
        <f t="shared" si="0"/>
        <v>-3.134796238244514</v>
      </c>
      <c r="H9" s="14">
        <f t="shared" si="0"/>
        <v>0</v>
      </c>
      <c r="J9" s="6" t="s">
        <v>25</v>
      </c>
    </row>
    <row r="10" spans="1:10" x14ac:dyDescent="0.25">
      <c r="A10" s="12" t="s">
        <v>28</v>
      </c>
      <c r="B10" s="14">
        <f>-1/D2</f>
        <v>-0.01</v>
      </c>
      <c r="C10" s="14">
        <f>1/D2+1/D3</f>
        <v>0.02</v>
      </c>
      <c r="D10" s="14">
        <f>-1/D3</f>
        <v>-0.01</v>
      </c>
      <c r="E10" s="12" t="s">
        <v>28</v>
      </c>
      <c r="F10" s="14">
        <f t="shared" si="0"/>
        <v>-3.134796238244514</v>
      </c>
      <c r="G10" s="14">
        <f t="shared" si="0"/>
        <v>6.2695924764890281</v>
      </c>
      <c r="H10" s="14">
        <f t="shared" si="0"/>
        <v>-3.134796238244514</v>
      </c>
      <c r="J10" s="6" t="s">
        <v>26</v>
      </c>
    </row>
    <row r="11" spans="1:10" x14ac:dyDescent="0.25">
      <c r="A11" s="12" t="s">
        <v>29</v>
      </c>
      <c r="B11" s="14">
        <v>0</v>
      </c>
      <c r="C11" s="14">
        <f>-1/D3</f>
        <v>-0.01</v>
      </c>
      <c r="D11" s="14">
        <f>1/D3</f>
        <v>0.01</v>
      </c>
      <c r="E11" s="12" t="s">
        <v>29</v>
      </c>
      <c r="F11" s="14">
        <f t="shared" si="0"/>
        <v>0</v>
      </c>
      <c r="G11" s="14">
        <f t="shared" si="0"/>
        <v>-3.134796238244514</v>
      </c>
      <c r="H11" s="14">
        <f t="shared" si="0"/>
        <v>3.134796238244514</v>
      </c>
      <c r="J11" s="6"/>
    </row>
    <row r="12" spans="1:10" x14ac:dyDescent="0.25">
      <c r="A12" t="s">
        <v>30</v>
      </c>
      <c r="B12" s="13" t="s">
        <v>27</v>
      </c>
      <c r="C12" s="13" t="s">
        <v>28</v>
      </c>
      <c r="D12" s="13" t="s">
        <v>29</v>
      </c>
      <c r="E12" t="s">
        <v>30</v>
      </c>
      <c r="F12" s="13" t="s">
        <v>27</v>
      </c>
      <c r="G12" s="13" t="s">
        <v>28</v>
      </c>
      <c r="H12" s="13" t="s">
        <v>29</v>
      </c>
      <c r="J12" s="6"/>
    </row>
    <row r="13" spans="1:10" x14ac:dyDescent="0.25">
      <c r="J13" s="6"/>
    </row>
    <row r="14" spans="1:10" x14ac:dyDescent="0.25">
      <c r="G14" s="13" t="s">
        <v>33</v>
      </c>
      <c r="J14" s="6"/>
    </row>
    <row r="15" spans="1:10" x14ac:dyDescent="0.25">
      <c r="G15" s="14">
        <v>3.1900000000000001E-3</v>
      </c>
      <c r="J15" s="6"/>
    </row>
    <row r="16" spans="1:10" x14ac:dyDescent="0.25">
      <c r="J16" s="6"/>
    </row>
    <row r="27" spans="9:9" x14ac:dyDescent="0.25">
      <c r="I27" t="s">
        <v>22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2025-11-21T19:47:50Z</dcterms:modified>
</cp:coreProperties>
</file>